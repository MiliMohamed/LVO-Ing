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GL_SEM\SEM_AGENCE\1 - SIDR-CDCH MARCHES DE MAINTENANCE\1 - ASCENSEURS\H - ASCENSEURS A L ARRET - POINT HEBDO\2026\"/>
    </mc:Choice>
  </mc:AlternateContent>
  <xr:revisionPtr revIDLastSave="0" documentId="13_ncr:1_{DE493F32-A3C3-4E46-8C59-2F3060D4CC38}" xr6:coauthVersionLast="47" xr6:coauthVersionMax="47" xr10:uidLastSave="{00000000-0000-0000-0000-000000000000}"/>
  <bookViews>
    <workbookView xWindow="-108" yWindow="-108" windowWidth="23256" windowHeight="12576" xr2:uid="{CF19CDBE-F4CD-494F-989E-F7C4E4F221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F31" i="1" s="1"/>
  <c r="J23" i="1"/>
  <c r="J10" i="1"/>
  <c r="J16" i="1" l="1"/>
  <c r="G26" i="1" s="1"/>
  <c r="J33" i="1" l="1"/>
  <c r="H34" i="1" l="1"/>
  <c r="G25" i="1" s="1"/>
  <c r="F29" i="1"/>
  <c r="J29" i="1" s="1"/>
  <c r="J32" i="1"/>
  <c r="J31" i="1" l="1"/>
  <c r="F30" i="1"/>
  <c r="J30" i="1" s="1"/>
  <c r="G27" i="1"/>
  <c r="J26" i="1" l="1"/>
  <c r="J27" i="1" s="1"/>
</calcChain>
</file>

<file path=xl/sharedStrings.xml><?xml version="1.0" encoding="utf-8"?>
<sst xmlns="http://schemas.openxmlformats.org/spreadsheetml/2006/main" count="165" uniqueCount="129">
  <si>
    <t>Ascensoriste &amp; Groupes d'Habitation</t>
  </si>
  <si>
    <t>Propriétaire</t>
  </si>
  <si>
    <t>N°GH</t>
  </si>
  <si>
    <t>Agence</t>
  </si>
  <si>
    <t>N° App</t>
  </si>
  <si>
    <t>Nb niveaux</t>
  </si>
  <si>
    <t>Cause</t>
  </si>
  <si>
    <t>Mise en service</t>
  </si>
  <si>
    <t>Libellé complémentaire</t>
  </si>
  <si>
    <t>Etat</t>
  </si>
  <si>
    <t>Date Mise à l'Arrêt</t>
  </si>
  <si>
    <t>Prévision de Remise en service</t>
  </si>
  <si>
    <t>Commentaires Prestataires / Historique + Actions SEM / Agences</t>
  </si>
  <si>
    <t>Actions SEM / Agences</t>
  </si>
  <si>
    <t>Points de Vigilance</t>
  </si>
  <si>
    <t>Devis reçus</t>
  </si>
  <si>
    <t>Validation AMO</t>
  </si>
  <si>
    <t>Montant TTC</t>
  </si>
  <si>
    <t>LC Agence</t>
  </si>
  <si>
    <t>CEGELEC :</t>
  </si>
  <si>
    <t>LES SAINTS PATRONS</t>
  </si>
  <si>
    <t>SIDR</t>
  </si>
  <si>
    <t>NE</t>
  </si>
  <si>
    <t>AM6080037708</t>
  </si>
  <si>
    <t>Infiltrations</t>
  </si>
  <si>
    <t xml:space="preserve">Disjoncte toujours </t>
  </si>
  <si>
    <r>
      <t>Remise en service le 25/04/25 mais suite à des coupures de courants sur le secteur l'ascenseur est de nouveau en panne - absence de courant
Nouveau devis le 05/05/2025 - @ HATEM le 15/05/25: "Merci de tenir compte de la demande du prestataire et demander une intervention conjointe avec votre électricien. Si le problème perdure, il convient de demande a votre électricien la pose d’un analyseur de réseau.</t>
    </r>
    <r>
      <rPr>
        <b/>
        <sz val="11"/>
        <color theme="1"/>
        <rFont val="Aptos Narrow"/>
        <family val="2"/>
        <scheme val="minor"/>
      </rPr>
      <t>Le 03/06/2025: Echange de mail entre M Gourville et M BACHE -M AROCA-M BOSSARD au sujet de la visite d'expertise le 21/05/2025.</t>
    </r>
    <r>
      <rPr>
        <sz val="11"/>
        <color theme="1"/>
        <rFont val="Aptos Narrow"/>
        <family val="2"/>
        <scheme val="minor"/>
      </rPr>
      <t xml:space="preserve"> CEGELEC: attente LC pour commander la pièce</t>
    </r>
  </si>
  <si>
    <t>14/04/2025
09/05/2025</t>
  </si>
  <si>
    <t>388,27
4169,42</t>
  </si>
  <si>
    <t>293591 du 22/04/2025
NON</t>
  </si>
  <si>
    <t>LES ORIENTALES Bât 18</t>
  </si>
  <si>
    <t>AMEGX56</t>
  </si>
  <si>
    <t>Panne technique</t>
  </si>
  <si>
    <t>Carte alimentation</t>
  </si>
  <si>
    <t>pas de RES prévue</t>
  </si>
  <si>
    <r>
      <t>Carte Alimentation éclairage secours et frein poulie HS -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Le 04/08/2025 : Cartes en défaut</t>
    </r>
    <r>
      <rPr>
        <b/>
        <sz val="11"/>
        <color theme="1"/>
        <rFont val="Aptos Narrow"/>
        <family val="2"/>
        <scheme val="minor"/>
      </rPr>
      <t>,</t>
    </r>
    <r>
      <rPr>
        <sz val="11"/>
        <color theme="1"/>
        <rFont val="Aptos Narrow"/>
        <family val="2"/>
        <scheme val="minor"/>
      </rPr>
      <t xml:space="preserve"> Le 11/08/2025 EEPROM (puce de programme) à remplacer demande en cours au fabricant, </t>
    </r>
    <r>
      <rPr>
        <b/>
        <sz val="11"/>
        <color theme="1"/>
        <rFont val="Aptos Narrow"/>
        <family val="2"/>
        <scheme val="minor"/>
      </rPr>
      <t>Le 19/08/2025 Plus de pièces disponibles pour les deux appareils, par de RES prévue. Attente modernisation de l'appareil fin 2026</t>
    </r>
  </si>
  <si>
    <r>
      <t>Le 19/08/2025 : plus de pièces disponibles pour les deux appareils, par de RES prévue.</t>
    </r>
    <r>
      <rPr>
        <b/>
        <sz val="11"/>
        <color theme="1"/>
        <rFont val="Aptos Narrow"/>
        <family val="2"/>
        <scheme val="minor"/>
      </rPr>
      <t xml:space="preserve"> Attente modernisation.</t>
    </r>
  </si>
  <si>
    <t>ILE DE France - B1</t>
  </si>
  <si>
    <t>CDC</t>
  </si>
  <si>
    <t>ADOMIA</t>
  </si>
  <si>
    <r>
      <t>porte vandalisée, technicien est passé, absence de courant 380, pas d'accés à l'ancienne machinerie pour remettre courant -  intervention le 09/05/2025 de remise en service : nouvelle pièce HS - nouveau devis- fournisseur demande information dans DOE, réclamé à SIDR. DOE envoyé à CEGELEC le 12/06/2025, attente devis CEGELEC</t>
    </r>
    <r>
      <rPr>
        <b/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Aptos Narrow"/>
        <family val="2"/>
        <scheme val="minor"/>
      </rPr>
      <t xml:space="preserve">- Nouveau devis de remplacement de l'éclairage cabine + tranfo spécifique le 17/07/2025. Délai de réception des pièces le 21/08/2025, @ de demande de LC agence le 05/08/2025, Le 11/08/2025 - 19/08/2025 relance @ l'agence pour LC MBA, pièce pas encore reçue, propose une solution provisoire en attendant la pièce, Visite le 04/09/2025, </t>
    </r>
    <r>
      <rPr>
        <b/>
        <sz val="11"/>
        <color theme="1"/>
        <rFont val="Aptos Narrow"/>
        <family val="2"/>
        <scheme val="minor"/>
      </rPr>
      <t>Nouveau devis validé par l'AMO le 30/09/2025, En attente LC agence</t>
    </r>
  </si>
  <si>
    <t>OTIS : </t>
  </si>
  <si>
    <t>DOMAINE DE BELLEPIERRE</t>
  </si>
  <si>
    <t>NO</t>
  </si>
  <si>
    <t>GZJ37</t>
  </si>
  <si>
    <t>Inondation</t>
  </si>
  <si>
    <r>
      <t>Suite cyclone GARANCE, sous-sols inondé. En attente pompage et nettoyage sous sol pour accès à l'ascenseur pour chiffrage. Pompage fait. Le 28/04/25, Ascenseur a pris la boue, en attente devis OTIS. @ le 11/06/25 relance OTIS pour obtenir le devis MBA. Le 16/06/2025 en attente devis OTIS</t>
    </r>
    <r>
      <rPr>
        <b/>
        <sz val="11"/>
        <color theme="1"/>
        <rFont val="Aptos Narrow"/>
        <family val="2"/>
        <scheme val="minor"/>
      </rPr>
      <t xml:space="preserve">. L'expert passe sur le groupe le 17/06/2025 - 31/07/2025 : pas de retour de la validation Expert - </t>
    </r>
  </si>
  <si>
    <t>RIVIERE SCHINDLER :  </t>
  </si>
  <si>
    <t>Appareils au total</t>
  </si>
  <si>
    <t>% app.arrêt</t>
  </si>
  <si>
    <t>Appareils à l'arrêt SOIT</t>
  </si>
  <si>
    <t xml:space="preserve">Appareils en fonction SOIT </t>
  </si>
  <si>
    <t>appareil à l'arrêt CEGELEC</t>
  </si>
  <si>
    <t>SUR</t>
  </si>
  <si>
    <t>AU CONTRAT</t>
  </si>
  <si>
    <t>CEGELEC</t>
  </si>
  <si>
    <t>appareil à l'arrêt OTIS</t>
  </si>
  <si>
    <t>OTIS</t>
  </si>
  <si>
    <t>appareil à l'arrêt SCHINDLER</t>
  </si>
  <si>
    <t>SCHINDLER</t>
  </si>
  <si>
    <t>SATELEC</t>
  </si>
  <si>
    <t>dont</t>
  </si>
  <si>
    <t>à l'arrêt : Vandalisme</t>
  </si>
  <si>
    <t>AOI</t>
  </si>
  <si>
    <t>GPA</t>
  </si>
  <si>
    <t>FJT</t>
  </si>
  <si>
    <t>LE RIVAGE</t>
  </si>
  <si>
    <t>SUD</t>
  </si>
  <si>
    <t>ISX29</t>
  </si>
  <si>
    <t>ETY05</t>
  </si>
  <si>
    <t>ETY06</t>
  </si>
  <si>
    <t>23/01/2026
OP-002179239</t>
  </si>
  <si>
    <t>à l'arrêt: Inondation / Infiltration</t>
  </si>
  <si>
    <t>Arrêt pour raison de sécurité</t>
  </si>
  <si>
    <t>Arrêt pour cause de mauvais état</t>
  </si>
  <si>
    <t xml:space="preserve">04/04/2025
DVTTR25.T2019
05/05/2025 DVTTR25.T2141 </t>
  </si>
  <si>
    <t>Voir pour travaux de mise "hors d'eau" avant RES. Mail le 24/02/2026 au service de M BOINETTE</t>
  </si>
  <si>
    <t>Attente retour Patrimoine</t>
  </si>
  <si>
    <t>Appel d'offre lancé pour remplacement début 2027</t>
  </si>
  <si>
    <t>315641 du
02/02/2026</t>
  </si>
  <si>
    <t>RIVIERA Bât A</t>
  </si>
  <si>
    <t>EST</t>
  </si>
  <si>
    <t>Porte palière décalée</t>
  </si>
  <si>
    <t>appareil à l'arreil AOI-la Kanopee</t>
  </si>
  <si>
    <t>appareil à l'arrêt SATELEC-Ravel</t>
  </si>
  <si>
    <t>IHM87</t>
  </si>
  <si>
    <t>Vandalisme</t>
  </si>
  <si>
    <t>05/03/2026
 OP-002212673</t>
  </si>
  <si>
    <t>319159 du 
11/03/2026</t>
  </si>
  <si>
    <t>23/01/2026
OP-002177271
04/03/2026
OP-002218935</t>
  </si>
  <si>
    <t>29/01/2026
06/03/2026</t>
  </si>
  <si>
    <t>1341,59€
920,94€</t>
  </si>
  <si>
    <t>semaine 24</t>
  </si>
  <si>
    <t>315642 du
02/02/2026   
Commande facultative</t>
  </si>
  <si>
    <r>
      <t xml:space="preserve">Vandalisme, porte de travers avec plusieurs pièces à changer. Demande agence déclaration suite vandalisme (@06-03/2026). </t>
    </r>
    <r>
      <rPr>
        <b/>
        <sz val="11"/>
        <color theme="1"/>
        <rFont val="Aptos Narrow"/>
        <family val="2"/>
        <scheme val="minor"/>
      </rPr>
      <t>Délai de RES annoncé 3 mois.</t>
    </r>
    <r>
      <rPr>
        <sz val="11"/>
        <color theme="1"/>
        <rFont val="Aptos Narrow"/>
        <family val="2"/>
        <scheme val="minor"/>
      </rPr>
      <t xml:space="preserve"> (pas de RES possible avant)</t>
    </r>
  </si>
  <si>
    <t>Cuvette Innondée/GARANCE</t>
  </si>
  <si>
    <t>20/03/2026
DVTSP26.T1259</t>
  </si>
  <si>
    <t>NON</t>
  </si>
  <si>
    <t>Attente validation AMO
Voir où en est la dossier d'expertise (relance mail le 03/03/2026 agence)</t>
  </si>
  <si>
    <r>
      <rPr>
        <sz val="11"/>
        <color theme="1"/>
        <rFont val="Aptos Narrow"/>
        <family val="2"/>
        <scheme val="minor"/>
      </rPr>
      <t>Agence :  Où en est le dossier d'expertise ?</t>
    </r>
    <r>
      <rPr>
        <b/>
        <sz val="11"/>
        <color theme="1"/>
        <rFont val="Aptos Narrow"/>
        <family val="2"/>
        <scheme val="minor"/>
      </rPr>
      <t xml:space="preserve">
Devis reçu par CEGELEC, pour pouvoir remettre en fonctionnement la cabine. Ensuite viendra un autre chiffrage en fonction des dysfontionnements constatés (éléments électroniques)(délai de commandes pièces pour ce devis 3 mois)</t>
    </r>
  </si>
  <si>
    <t>FRAGRANCE B1</t>
  </si>
  <si>
    <t>EGX60</t>
  </si>
  <si>
    <t>Panne électrique</t>
  </si>
  <si>
    <t>Problème de phase</t>
  </si>
  <si>
    <t>AOI : Kanopée</t>
  </si>
  <si>
    <r>
      <t xml:space="preserve">cable limitateur, remise en état porte palière, décorrodage avec reprise de seuil. Travaux réalisés mais nouvelle panne détectée : appareil oxydé ++
 Le 23/03/2026 Encore des travaux de reprise. </t>
    </r>
    <r>
      <rPr>
        <b/>
        <sz val="11"/>
        <color theme="1"/>
        <rFont val="Aptos Narrow"/>
        <family val="2"/>
        <scheme val="minor"/>
      </rPr>
      <t>Relance OTIS le 31/03/2026</t>
    </r>
  </si>
  <si>
    <r>
      <t>Cable limiteur et carte opérateur remplacée.</t>
    </r>
    <r>
      <rPr>
        <b/>
        <sz val="11"/>
        <color theme="1"/>
        <rFont val="Aptos Narrow"/>
        <family val="2"/>
        <scheme val="minor"/>
      </rPr>
      <t xml:space="preserve"> Nouvelles pannes et pièces à changer  : appareil oxydé ++.</t>
    </r>
    <r>
      <rPr>
        <sz val="11"/>
        <color theme="1"/>
        <rFont val="Aptos Narrow"/>
        <family val="2"/>
        <scheme val="minor"/>
      </rPr>
      <t xml:space="preserve"> (Devis facultatif  envoyé pour l'installation d'une boite à clé  920,94€).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Le 23/03/2026 Encore des travaux de reprise de maçonnerie aux seuils de portes</t>
    </r>
    <r>
      <rPr>
        <b/>
        <sz val="11"/>
        <color theme="1"/>
        <rFont val="Aptos Narrow"/>
        <family val="2"/>
        <scheme val="minor"/>
      </rPr>
      <t>. Relance OTIS le 31/03/2026</t>
    </r>
  </si>
  <si>
    <r>
      <t xml:space="preserve">SIDR - CDCH / Etat des ascenseurs à l'Arrêt au </t>
    </r>
    <r>
      <rPr>
        <b/>
        <sz val="22"/>
        <color theme="1"/>
        <rFont val="Aptos Narrow"/>
        <family val="2"/>
        <scheme val="minor"/>
      </rPr>
      <t>07/04/2026</t>
    </r>
  </si>
  <si>
    <t>VAVANGUE 2</t>
  </si>
  <si>
    <t>LES SAVANES</t>
  </si>
  <si>
    <t>Problème alimentation</t>
  </si>
  <si>
    <t>Coupure EDF, mail transmis agence le 07/04/2026 pour demander de faire passer un électricien sur site</t>
  </si>
  <si>
    <t>17/03/2026
16 060</t>
  </si>
  <si>
    <t>Attente validation AMO</t>
  </si>
  <si>
    <t>Fuite eau</t>
  </si>
  <si>
    <t>Fuite réparée, attente validation AMO</t>
  </si>
  <si>
    <t>Attente passage électricien</t>
  </si>
  <si>
    <t>Attente intervention électricien</t>
  </si>
  <si>
    <r>
      <t xml:space="preserve">Le béton s'effrite + ferraille apparente dans gaine. </t>
    </r>
    <r>
      <rPr>
        <b/>
        <sz val="11"/>
        <rFont val="Aptos Narrow"/>
        <family val="2"/>
        <scheme val="minor"/>
      </rPr>
      <t>Otis ne fera finalement pas de travaux sans reprise du béton existant.</t>
    </r>
    <r>
      <rPr>
        <sz val="11"/>
        <rFont val="Aptos Narrow"/>
        <family val="2"/>
        <scheme val="minor"/>
      </rPr>
      <t xml:space="preserve"> RDV pour chiffrage de reprise de la gaine ascenseur semaine 16.</t>
    </r>
  </si>
  <si>
    <t>26/03/2026
OP-002259069</t>
  </si>
  <si>
    <r>
      <t xml:space="preserve">Problème de phase sur l'ascenseur, </t>
    </r>
    <r>
      <rPr>
        <b/>
        <sz val="11"/>
        <color theme="1"/>
        <rFont val="Aptos Narrow"/>
        <family val="2"/>
        <scheme val="minor"/>
      </rPr>
      <t>le 07/04/2026 l'agence a missionnné un électricien depuis le 30/03/2026 sans intervention réalisée à ce jour. Cegelec prendra ensuite le relai pour la RES</t>
    </r>
  </si>
  <si>
    <t>OLYMPIADE 1 cage 5
11AO</t>
  </si>
  <si>
    <t>JCE85</t>
  </si>
  <si>
    <t>Capteurs</t>
  </si>
  <si>
    <t>Pas de stock. Attente retour CEGELEC sur le délai de réception de la pièce.</t>
  </si>
  <si>
    <t>Attente retour/devis CEGELEC</t>
  </si>
  <si>
    <t>Attente chiffrage de reprise
du béton dans la  gaine</t>
  </si>
  <si>
    <t>Etat des lieux en cours par SCHINDLER, manque une clé pour accéder au sous sol condamné, RDV programmé avec agence</t>
  </si>
  <si>
    <t>JCE79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</si>
</sst>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/>
  </cellStyleXfs>
  <cellXfs count="171">
    <xf numFmtId="0" fontId="0" fillId="0" borderId="0" xfId="0"/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3" borderId="12" xfId="0" applyFont="1" applyFill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164" fontId="3" fillId="0" borderId="12" xfId="1" applyNumberFormat="1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/>
    <xf numFmtId="0" fontId="0" fillId="0" borderId="15" xfId="0" applyBorder="1" applyAlignment="1">
      <alignment horizontal="right" vertical="center"/>
    </xf>
    <xf numFmtId="164" fontId="3" fillId="0" borderId="16" xfId="1" applyNumberFormat="1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14" fontId="0" fillId="0" borderId="16" xfId="0" applyNumberFormat="1" applyBorder="1" applyAlignment="1">
      <alignment horizontal="right" vertical="center"/>
    </xf>
    <xf numFmtId="0" fontId="0" fillId="0" borderId="17" xfId="0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14" fontId="0" fillId="5" borderId="17" xfId="0" applyNumberFormat="1" applyFill="1" applyBorder="1" applyAlignment="1">
      <alignment horizontal="center" vertical="center" wrapText="1"/>
    </xf>
    <xf numFmtId="14" fontId="0" fillId="0" borderId="15" xfId="0" applyNumberFormat="1" applyBorder="1" applyAlignment="1">
      <alignment horizontal="right" vertical="center" wrapText="1"/>
    </xf>
    <xf numFmtId="14" fontId="0" fillId="0" borderId="16" xfId="0" applyNumberFormat="1" applyBorder="1" applyAlignment="1">
      <alignment horizontal="right" vertical="center" wrapText="1"/>
    </xf>
    <xf numFmtId="164" fontId="3" fillId="0" borderId="16" xfId="1" applyNumberFormat="1" applyFont="1" applyFill="1" applyBorder="1" applyAlignment="1">
      <alignment horizontal="right" vertical="center" wrapText="1"/>
    </xf>
    <xf numFmtId="0" fontId="3" fillId="0" borderId="19" xfId="0" applyFon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164" fontId="3" fillId="0" borderId="16" xfId="1" applyNumberFormat="1" applyFont="1" applyFill="1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14" fontId="0" fillId="0" borderId="12" xfId="0" applyNumberFormat="1" applyBorder="1" applyAlignment="1">
      <alignment horizontal="right" vertical="center"/>
    </xf>
    <xf numFmtId="14" fontId="7" fillId="0" borderId="12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14" fontId="0" fillId="0" borderId="13" xfId="0" applyNumberFormat="1" applyBorder="1" applyAlignment="1">
      <alignment horizontal="right" vertical="center" wrapText="1"/>
    </xf>
    <xf numFmtId="14" fontId="0" fillId="0" borderId="12" xfId="0" applyNumberFormat="1" applyBorder="1" applyAlignment="1">
      <alignment horizontal="right" vertical="center"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0" fontId="3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8" fillId="0" borderId="17" xfId="0" applyFont="1" applyBorder="1" applyAlignment="1">
      <alignment wrapText="1"/>
    </xf>
    <xf numFmtId="14" fontId="0" fillId="0" borderId="17" xfId="0" applyNumberFormat="1" applyBorder="1"/>
    <xf numFmtId="14" fontId="0" fillId="0" borderId="16" xfId="0" applyNumberFormat="1" applyBorder="1" applyAlignment="1">
      <alignment vertical="center" wrapText="1"/>
    </xf>
    <xf numFmtId="0" fontId="0" fillId="3" borderId="17" xfId="0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0" fillId="3" borderId="15" xfId="0" applyFill="1" applyBorder="1" applyAlignment="1">
      <alignment wrapText="1"/>
    </xf>
    <xf numFmtId="0" fontId="3" fillId="3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14" fontId="0" fillId="0" borderId="16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4" fontId="3" fillId="0" borderId="0" xfId="1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14" fontId="10" fillId="0" borderId="0" xfId="0" applyNumberFormat="1" applyFont="1"/>
    <xf numFmtId="0" fontId="11" fillId="0" borderId="16" xfId="0" applyFont="1" applyBorder="1" applyAlignment="1">
      <alignment horizontal="right"/>
    </xf>
    <xf numFmtId="10" fontId="11" fillId="6" borderId="16" xfId="0" applyNumberFormat="1" applyFont="1" applyFill="1" applyBorder="1"/>
    <xf numFmtId="0" fontId="12" fillId="0" borderId="16" xfId="0" applyFont="1" applyBorder="1"/>
    <xf numFmtId="10" fontId="12" fillId="0" borderId="16" xfId="0" applyNumberFormat="1" applyFont="1" applyBorder="1"/>
    <xf numFmtId="0" fontId="0" fillId="0" borderId="21" xfId="0" applyBorder="1"/>
    <xf numFmtId="0" fontId="0" fillId="0" borderId="0" xfId="0" applyAlignment="1">
      <alignment horizontal="right"/>
    </xf>
    <xf numFmtId="0" fontId="9" fillId="0" borderId="16" xfId="0" applyFont="1" applyBorder="1"/>
    <xf numFmtId="0" fontId="0" fillId="0" borderId="16" xfId="0" applyBorder="1" applyAlignment="1">
      <alignment horizontal="right"/>
    </xf>
    <xf numFmtId="0" fontId="13" fillId="0" borderId="16" xfId="0" applyFont="1" applyBorder="1"/>
    <xf numFmtId="10" fontId="9" fillId="0" borderId="16" xfId="1" applyNumberFormat="1" applyFont="1" applyBorder="1" applyAlignment="1">
      <alignment horizontal="right"/>
    </xf>
    <xf numFmtId="0" fontId="3" fillId="0" borderId="16" xfId="0" applyFont="1" applyBorder="1" applyAlignment="1">
      <alignment horizontal="right" vertical="center"/>
    </xf>
    <xf numFmtId="0" fontId="3" fillId="0" borderId="0" xfId="0" applyFont="1"/>
    <xf numFmtId="0" fontId="9" fillId="0" borderId="4" xfId="0" applyFont="1" applyBorder="1"/>
    <xf numFmtId="0" fontId="0" fillId="0" borderId="20" xfId="0" applyBorder="1" applyAlignment="1">
      <alignment horizontal="right"/>
    </xf>
    <xf numFmtId="0" fontId="0" fillId="0" borderId="22" xfId="0" applyBorder="1" applyAlignment="1">
      <alignment horizontal="left" vertical="center"/>
    </xf>
    <xf numFmtId="10" fontId="9" fillId="0" borderId="4" xfId="1" applyNumberFormat="1" applyFont="1" applyBorder="1" applyAlignment="1">
      <alignment horizontal="right"/>
    </xf>
    <xf numFmtId="0" fontId="14" fillId="0" borderId="16" xfId="0" applyFont="1" applyBorder="1" applyAlignment="1">
      <alignment horizontal="right" vertical="center"/>
    </xf>
    <xf numFmtId="0" fontId="0" fillId="0" borderId="1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3" fillId="0" borderId="27" xfId="0" applyFont="1" applyBorder="1" applyAlignment="1">
      <alignment horizontal="center" vertical="center"/>
    </xf>
    <xf numFmtId="0" fontId="0" fillId="0" borderId="28" xfId="0" applyBorder="1"/>
    <xf numFmtId="0" fontId="3" fillId="8" borderId="16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right" vertical="center"/>
    </xf>
    <xf numFmtId="0" fontId="0" fillId="8" borderId="4" xfId="0" applyFill="1" applyBorder="1" applyAlignment="1">
      <alignment horizontal="right" vertical="center"/>
    </xf>
    <xf numFmtId="164" fontId="3" fillId="8" borderId="4" xfId="1" applyNumberFormat="1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left" vertical="center" wrapText="1"/>
    </xf>
    <xf numFmtId="0" fontId="15" fillId="9" borderId="8" xfId="0" applyFont="1" applyFill="1" applyBorder="1" applyAlignment="1">
      <alignment horizontal="center" vertical="center" wrapText="1"/>
    </xf>
    <xf numFmtId="164" fontId="15" fillId="9" borderId="7" xfId="1" applyNumberFormat="1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6" fillId="0" borderId="0" xfId="0" applyFont="1"/>
    <xf numFmtId="0" fontId="5" fillId="10" borderId="15" xfId="0" applyFont="1" applyFill="1" applyBorder="1" applyAlignment="1">
      <alignment wrapText="1"/>
    </xf>
    <xf numFmtId="0" fontId="6" fillId="10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/>
    </xf>
    <xf numFmtId="0" fontId="6" fillId="10" borderId="16" xfId="0" applyFont="1" applyFill="1" applyBorder="1"/>
    <xf numFmtId="0" fontId="6" fillId="10" borderId="16" xfId="0" applyFont="1" applyFill="1" applyBorder="1" applyAlignment="1">
      <alignment wrapText="1"/>
    </xf>
    <xf numFmtId="0" fontId="6" fillId="10" borderId="16" xfId="0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right" vertical="center"/>
    </xf>
    <xf numFmtId="0" fontId="6" fillId="10" borderId="17" xfId="0" applyFont="1" applyFill="1" applyBorder="1"/>
    <xf numFmtId="0" fontId="0" fillId="10" borderId="15" xfId="0" applyFill="1" applyBorder="1" applyAlignment="1">
      <alignment horizontal="right" vertical="center"/>
    </xf>
    <xf numFmtId="0" fontId="0" fillId="10" borderId="16" xfId="0" applyFill="1" applyBorder="1" applyAlignment="1">
      <alignment horizontal="right" vertical="center"/>
    </xf>
    <xf numFmtId="164" fontId="3" fillId="10" borderId="16" xfId="1" applyNumberFormat="1" applyFont="1" applyFill="1" applyBorder="1" applyAlignment="1">
      <alignment vertical="center"/>
    </xf>
    <xf numFmtId="0" fontId="3" fillId="10" borderId="18" xfId="0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vertical="center" wrapText="1"/>
    </xf>
    <xf numFmtId="0" fontId="3" fillId="11" borderId="13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25" xfId="0" applyBorder="1" applyAlignment="1">
      <alignment horizontal="left"/>
    </xf>
    <xf numFmtId="0" fontId="13" fillId="0" borderId="24" xfId="0" applyFont="1" applyBorder="1"/>
    <xf numFmtId="14" fontId="19" fillId="0" borderId="16" xfId="2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right" vertical="center" wrapText="1"/>
    </xf>
    <xf numFmtId="0" fontId="0" fillId="0" borderId="29" xfId="0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wrapText="1"/>
    </xf>
    <xf numFmtId="0" fontId="3" fillId="0" borderId="19" xfId="0" applyFont="1" applyBorder="1" applyAlignment="1">
      <alignment horizontal="right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21" fillId="0" borderId="0" xfId="0" applyFont="1"/>
    <xf numFmtId="14" fontId="2" fillId="0" borderId="12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17" fontId="0" fillId="0" borderId="15" xfId="0" applyNumberFormat="1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14" fontId="7" fillId="5" borderId="17" xfId="0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32" xfId="0" applyFont="1" applyBorder="1" applyAlignment="1">
      <alignment vertical="center"/>
    </xf>
    <xf numFmtId="14" fontId="3" fillId="0" borderId="0" xfId="0" applyNumberFormat="1" applyFont="1"/>
    <xf numFmtId="14" fontId="3" fillId="0" borderId="32" xfId="0" applyNumberFormat="1" applyFont="1" applyBorder="1"/>
    <xf numFmtId="0" fontId="0" fillId="0" borderId="16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center"/>
    </xf>
    <xf numFmtId="0" fontId="0" fillId="4" borderId="16" xfId="0" applyFill="1" applyBorder="1" applyAlignment="1">
      <alignment horizontal="right" vertical="center"/>
    </xf>
    <xf numFmtId="0" fontId="0" fillId="7" borderId="16" xfId="0" applyFill="1" applyBorder="1" applyAlignment="1">
      <alignment horizontal="right" vertical="center"/>
    </xf>
    <xf numFmtId="0" fontId="0" fillId="0" borderId="12" xfId="0" applyFont="1" applyBorder="1" applyAlignment="1">
      <alignment horizontal="center" vertical="center"/>
    </xf>
  </cellXfs>
  <cellStyles count="3">
    <cellStyle name="Normal" xfId="0" builtinId="0"/>
    <cellStyle name="Normal_Etat" xfId="2" xr:uid="{000EA922-C8A9-4131-8DA3-868D9C170AE4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4596-6419-4629-BCE3-D2BFFDC3F1C8}">
  <sheetPr>
    <pageSetUpPr fitToPage="1"/>
  </sheetPr>
  <dimension ref="A1:T37"/>
  <sheetViews>
    <sheetView tabSelected="1" zoomScale="85" zoomScaleNormal="85" workbookViewId="0">
      <pane ySplit="2" topLeftCell="A15" activePane="bottomLeft" state="frozen"/>
      <selection pane="bottomLeft" activeCell="J5" sqref="J5:J9"/>
    </sheetView>
  </sheetViews>
  <sheetFormatPr baseColWidth="10" defaultRowHeight="14.4" x14ac:dyDescent="0.3"/>
  <cols>
    <col min="1" max="1" width="22.109375" customWidth="1"/>
    <col min="2" max="2" width="9" customWidth="1"/>
    <col min="3" max="3" width="7.33203125" customWidth="1"/>
    <col min="4" max="4" width="7.88671875" customWidth="1"/>
    <col min="5" max="5" width="14" customWidth="1"/>
    <col min="6" max="6" width="8.88671875" customWidth="1"/>
    <col min="7" max="7" width="13.44140625" customWidth="1"/>
    <col min="8" max="8" width="12.6640625" customWidth="1"/>
    <col min="9" max="9" width="25.109375" customWidth="1"/>
    <col min="10" max="10" width="10.6640625" customWidth="1"/>
    <col min="11" max="11" width="10.88671875" customWidth="1"/>
    <col min="12" max="12" width="13" customWidth="1"/>
    <col min="13" max="13" width="142.33203125" hidden="1" customWidth="1"/>
    <col min="14" max="14" width="45.5546875" customWidth="1"/>
    <col min="15" max="15" width="32.88671875" customWidth="1"/>
    <col min="16" max="16" width="15.109375" customWidth="1"/>
    <col min="17" max="18" width="13.5546875" customWidth="1"/>
    <col min="19" max="19" width="15.109375" customWidth="1"/>
  </cols>
  <sheetData>
    <row r="1" spans="1:20" ht="29.4" thickBot="1" x14ac:dyDescent="0.35">
      <c r="A1" s="165" t="s">
        <v>107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02"/>
      <c r="Q1" s="103"/>
      <c r="R1" s="104"/>
      <c r="S1" s="105"/>
    </row>
    <row r="2" spans="1:20" s="112" customFormat="1" ht="82.5" customHeight="1" thickBot="1" x14ac:dyDescent="0.35">
      <c r="A2" s="106" t="s">
        <v>0</v>
      </c>
      <c r="B2" s="107" t="s">
        <v>1</v>
      </c>
      <c r="C2" s="107" t="s">
        <v>2</v>
      </c>
      <c r="D2" s="107" t="s">
        <v>3</v>
      </c>
      <c r="E2" s="107" t="s">
        <v>4</v>
      </c>
      <c r="F2" s="107" t="s">
        <v>5</v>
      </c>
      <c r="G2" s="107" t="s">
        <v>6</v>
      </c>
      <c r="H2" s="107" t="s">
        <v>7</v>
      </c>
      <c r="I2" s="107" t="s">
        <v>8</v>
      </c>
      <c r="J2" s="107" t="s">
        <v>9</v>
      </c>
      <c r="K2" s="107" t="s">
        <v>10</v>
      </c>
      <c r="L2" s="107" t="s">
        <v>11</v>
      </c>
      <c r="M2" s="108" t="s">
        <v>12</v>
      </c>
      <c r="N2" s="108" t="s">
        <v>13</v>
      </c>
      <c r="O2" s="109" t="s">
        <v>14</v>
      </c>
      <c r="P2" s="106" t="s">
        <v>15</v>
      </c>
      <c r="Q2" s="107" t="s">
        <v>16</v>
      </c>
      <c r="R2" s="110" t="s">
        <v>17</v>
      </c>
      <c r="S2" s="111" t="s">
        <v>18</v>
      </c>
      <c r="T2" s="142"/>
    </row>
    <row r="3" spans="1:20" ht="7.5" customHeight="1" x14ac:dyDescent="0.3">
      <c r="A3" s="1"/>
      <c r="B3" s="2"/>
      <c r="C3" s="3"/>
      <c r="D3" s="4"/>
      <c r="E3" s="3"/>
      <c r="F3" s="4"/>
      <c r="G3" s="5"/>
      <c r="H3" s="5"/>
      <c r="I3" s="6"/>
      <c r="J3" s="7"/>
      <c r="K3" s="8"/>
      <c r="L3" s="9"/>
      <c r="M3" s="4"/>
      <c r="N3" s="4"/>
      <c r="O3" s="10"/>
      <c r="P3" s="11"/>
      <c r="Q3" s="12"/>
      <c r="R3" s="13"/>
      <c r="S3" s="14"/>
    </row>
    <row r="4" spans="1:20" ht="24.75" customHeight="1" x14ac:dyDescent="0.45">
      <c r="A4" s="113" t="s">
        <v>19</v>
      </c>
      <c r="B4" s="114"/>
      <c r="C4" s="115"/>
      <c r="D4" s="116"/>
      <c r="E4" s="115"/>
      <c r="F4" s="116"/>
      <c r="G4" s="117"/>
      <c r="H4" s="117"/>
      <c r="I4" s="118"/>
      <c r="J4" s="116"/>
      <c r="K4" s="119"/>
      <c r="L4" s="119"/>
      <c r="M4" s="120"/>
      <c r="N4" s="120"/>
      <c r="O4" s="120"/>
      <c r="P4" s="121"/>
      <c r="Q4" s="122"/>
      <c r="R4" s="123"/>
      <c r="S4" s="124"/>
    </row>
    <row r="5" spans="1:20" ht="90.75" customHeight="1" x14ac:dyDescent="0.3">
      <c r="A5" s="129" t="s">
        <v>42</v>
      </c>
      <c r="B5" s="47" t="s">
        <v>21</v>
      </c>
      <c r="C5" s="47">
        <v>597</v>
      </c>
      <c r="D5" s="100" t="s">
        <v>43</v>
      </c>
      <c r="E5" s="15" t="s">
        <v>44</v>
      </c>
      <c r="F5" s="100">
        <v>2</v>
      </c>
      <c r="G5" s="25" t="s">
        <v>45</v>
      </c>
      <c r="H5" s="26">
        <v>42005</v>
      </c>
      <c r="I5" s="27" t="s">
        <v>95</v>
      </c>
      <c r="J5" s="125">
        <v>1</v>
      </c>
      <c r="K5" s="54">
        <v>45715</v>
      </c>
      <c r="L5" s="54"/>
      <c r="M5" s="55" t="s">
        <v>46</v>
      </c>
      <c r="N5" s="56" t="s">
        <v>99</v>
      </c>
      <c r="O5" s="148" t="s">
        <v>98</v>
      </c>
      <c r="P5" s="146" t="s">
        <v>96</v>
      </c>
      <c r="Q5" s="147" t="s">
        <v>97</v>
      </c>
      <c r="R5" s="37">
        <v>19278.52</v>
      </c>
      <c r="S5" s="24"/>
    </row>
    <row r="6" spans="1:20" ht="59.25" customHeight="1" x14ac:dyDescent="0.3">
      <c r="A6" s="129" t="s">
        <v>20</v>
      </c>
      <c r="B6" s="47" t="s">
        <v>21</v>
      </c>
      <c r="C6" s="47">
        <v>670</v>
      </c>
      <c r="D6" s="100" t="s">
        <v>22</v>
      </c>
      <c r="E6" s="15" t="s">
        <v>23</v>
      </c>
      <c r="F6" s="100">
        <v>2</v>
      </c>
      <c r="G6" s="25" t="s">
        <v>24</v>
      </c>
      <c r="H6" s="26">
        <v>44259</v>
      </c>
      <c r="I6" s="27" t="s">
        <v>25</v>
      </c>
      <c r="J6" s="125">
        <v>1</v>
      </c>
      <c r="K6" s="28">
        <v>45775</v>
      </c>
      <c r="L6" s="26"/>
      <c r="M6" s="29" t="s">
        <v>26</v>
      </c>
      <c r="N6" s="30" t="s">
        <v>76</v>
      </c>
      <c r="O6" s="36" t="s">
        <v>77</v>
      </c>
      <c r="P6" s="32" t="s">
        <v>75</v>
      </c>
      <c r="Q6" s="33" t="s">
        <v>27</v>
      </c>
      <c r="R6" s="34" t="s">
        <v>28</v>
      </c>
      <c r="S6" s="139" t="s">
        <v>29</v>
      </c>
    </row>
    <row r="7" spans="1:20" ht="47.25" customHeight="1" x14ac:dyDescent="0.3">
      <c r="A7" s="129" t="s">
        <v>30</v>
      </c>
      <c r="B7" s="47" t="s">
        <v>21</v>
      </c>
      <c r="C7" s="47">
        <v>239</v>
      </c>
      <c r="D7" s="100" t="s">
        <v>22</v>
      </c>
      <c r="E7" s="15" t="s">
        <v>31</v>
      </c>
      <c r="F7" s="100">
        <v>9</v>
      </c>
      <c r="G7" s="25" t="s">
        <v>32</v>
      </c>
      <c r="H7" s="26">
        <v>33970</v>
      </c>
      <c r="I7" s="27" t="s">
        <v>33</v>
      </c>
      <c r="J7" s="125">
        <v>1</v>
      </c>
      <c r="K7" s="28">
        <v>45847</v>
      </c>
      <c r="L7" s="157" t="s">
        <v>34</v>
      </c>
      <c r="M7" s="29" t="s">
        <v>35</v>
      </c>
      <c r="N7" s="29" t="s">
        <v>36</v>
      </c>
      <c r="O7" s="156" t="s">
        <v>78</v>
      </c>
      <c r="P7" s="32"/>
      <c r="Q7" s="33"/>
      <c r="R7" s="37"/>
      <c r="S7" s="38"/>
    </row>
    <row r="8" spans="1:20" ht="40.5" customHeight="1" x14ac:dyDescent="0.3">
      <c r="A8" s="129" t="s">
        <v>121</v>
      </c>
      <c r="B8" s="47" t="s">
        <v>38</v>
      </c>
      <c r="C8" s="47">
        <v>7676</v>
      </c>
      <c r="D8" s="100" t="s">
        <v>39</v>
      </c>
      <c r="E8" s="145" t="s">
        <v>122</v>
      </c>
      <c r="F8" s="100">
        <v>6</v>
      </c>
      <c r="G8" s="25" t="s">
        <v>32</v>
      </c>
      <c r="H8" s="26">
        <v>44925</v>
      </c>
      <c r="I8" s="27" t="s">
        <v>123</v>
      </c>
      <c r="J8" s="125">
        <v>1</v>
      </c>
      <c r="K8" s="28">
        <v>46109</v>
      </c>
      <c r="L8" s="26"/>
      <c r="M8" s="29"/>
      <c r="N8" s="29" t="s">
        <v>124</v>
      </c>
      <c r="O8" s="148" t="s">
        <v>125</v>
      </c>
      <c r="P8" s="32"/>
      <c r="Q8" s="33"/>
      <c r="R8" s="37"/>
      <c r="S8" s="135"/>
    </row>
    <row r="9" spans="1:20" ht="62.25" customHeight="1" x14ac:dyDescent="0.3">
      <c r="A9" s="129" t="s">
        <v>100</v>
      </c>
      <c r="B9" s="47" t="s">
        <v>21</v>
      </c>
      <c r="C9" s="47">
        <v>248</v>
      </c>
      <c r="D9" s="100" t="s">
        <v>81</v>
      </c>
      <c r="E9" s="145" t="s">
        <v>101</v>
      </c>
      <c r="F9" s="100">
        <v>6</v>
      </c>
      <c r="G9" s="25" t="s">
        <v>102</v>
      </c>
      <c r="H9" s="26">
        <v>45504</v>
      </c>
      <c r="I9" s="27" t="s">
        <v>103</v>
      </c>
      <c r="J9" s="125">
        <v>1</v>
      </c>
      <c r="K9" s="28">
        <v>46111</v>
      </c>
      <c r="L9" s="26"/>
      <c r="M9" s="29"/>
      <c r="N9" s="29" t="s">
        <v>120</v>
      </c>
      <c r="O9" s="148" t="s">
        <v>117</v>
      </c>
      <c r="P9" s="32"/>
      <c r="Q9" s="33"/>
      <c r="R9" s="37"/>
      <c r="S9" s="135"/>
    </row>
    <row r="10" spans="1:20" x14ac:dyDescent="0.3">
      <c r="A10" s="46"/>
      <c r="B10" s="47"/>
      <c r="C10" s="48"/>
      <c r="D10" s="49"/>
      <c r="E10" s="48"/>
      <c r="F10" s="47"/>
      <c r="G10" s="50"/>
      <c r="H10" s="18"/>
      <c r="I10" s="27"/>
      <c r="J10" s="127">
        <f>SUM(J5:J9)</f>
        <v>5</v>
      </c>
      <c r="K10" s="28"/>
      <c r="L10" s="28"/>
      <c r="M10" s="51"/>
      <c r="N10" s="52"/>
      <c r="O10" s="53"/>
      <c r="P10" s="22"/>
      <c r="Q10" s="20"/>
      <c r="R10" s="23"/>
      <c r="S10" s="24"/>
    </row>
    <row r="11" spans="1:20" ht="23.4" x14ac:dyDescent="0.45">
      <c r="A11" s="113" t="s">
        <v>41</v>
      </c>
      <c r="B11" s="114"/>
      <c r="C11" s="115"/>
      <c r="D11" s="116"/>
      <c r="E11" s="115"/>
      <c r="F11" s="114"/>
      <c r="G11" s="117"/>
      <c r="H11" s="117"/>
      <c r="I11" s="118"/>
      <c r="J11" s="114"/>
      <c r="K11" s="119"/>
      <c r="L11" s="119"/>
      <c r="M11" s="120"/>
      <c r="N11" s="120"/>
      <c r="O11" s="120"/>
      <c r="P11" s="121"/>
      <c r="Q11" s="122"/>
      <c r="R11" s="123"/>
      <c r="S11" s="124"/>
    </row>
    <row r="12" spans="1:20" ht="91.5" customHeight="1" x14ac:dyDescent="0.3">
      <c r="A12" s="130" t="s">
        <v>65</v>
      </c>
      <c r="B12" s="7" t="s">
        <v>21</v>
      </c>
      <c r="C12" s="7">
        <v>390</v>
      </c>
      <c r="D12" s="101" t="s">
        <v>67</v>
      </c>
      <c r="E12" s="170" t="s">
        <v>69</v>
      </c>
      <c r="F12" s="101">
        <v>4</v>
      </c>
      <c r="G12" s="25" t="s">
        <v>32</v>
      </c>
      <c r="H12" s="134">
        <v>39814</v>
      </c>
      <c r="I12" s="40" t="s">
        <v>74</v>
      </c>
      <c r="J12" s="126">
        <v>1</v>
      </c>
      <c r="K12" s="41">
        <v>46042</v>
      </c>
      <c r="L12" s="26"/>
      <c r="M12" s="43"/>
      <c r="N12" s="43" t="s">
        <v>106</v>
      </c>
      <c r="O12" s="36"/>
      <c r="P12" s="44" t="s">
        <v>89</v>
      </c>
      <c r="Q12" s="45" t="s">
        <v>90</v>
      </c>
      <c r="R12" s="34" t="s">
        <v>91</v>
      </c>
      <c r="S12" s="139" t="s">
        <v>93</v>
      </c>
    </row>
    <row r="13" spans="1:20" ht="60.75" customHeight="1" x14ac:dyDescent="0.3">
      <c r="A13" s="130" t="s">
        <v>65</v>
      </c>
      <c r="B13" s="7" t="s">
        <v>21</v>
      </c>
      <c r="C13" s="7">
        <v>390</v>
      </c>
      <c r="D13" s="101" t="s">
        <v>67</v>
      </c>
      <c r="E13" s="170" t="s">
        <v>70</v>
      </c>
      <c r="F13" s="101">
        <v>4</v>
      </c>
      <c r="G13" s="25" t="s">
        <v>32</v>
      </c>
      <c r="H13" s="134">
        <v>39814</v>
      </c>
      <c r="I13" s="40" t="s">
        <v>74</v>
      </c>
      <c r="J13" s="126">
        <v>1</v>
      </c>
      <c r="K13" s="41">
        <v>46042</v>
      </c>
      <c r="L13" s="26"/>
      <c r="M13" s="43"/>
      <c r="N13" s="18" t="s">
        <v>105</v>
      </c>
      <c r="O13" s="36"/>
      <c r="P13" s="44" t="s">
        <v>71</v>
      </c>
      <c r="Q13" s="45">
        <v>46051</v>
      </c>
      <c r="R13" s="37">
        <v>4803.8100000000004</v>
      </c>
      <c r="S13" s="139" t="s">
        <v>79</v>
      </c>
    </row>
    <row r="14" spans="1:20" ht="60" customHeight="1" x14ac:dyDescent="0.3">
      <c r="A14" s="130" t="s">
        <v>66</v>
      </c>
      <c r="B14" s="7" t="s">
        <v>21</v>
      </c>
      <c r="C14" s="7">
        <v>661</v>
      </c>
      <c r="D14" s="101" t="s">
        <v>67</v>
      </c>
      <c r="E14" s="170" t="s">
        <v>68</v>
      </c>
      <c r="F14" s="101">
        <v>4</v>
      </c>
      <c r="G14" s="25" t="s">
        <v>32</v>
      </c>
      <c r="H14" s="140">
        <v>43235</v>
      </c>
      <c r="I14" s="40" t="s">
        <v>73</v>
      </c>
      <c r="J14" s="126">
        <v>1</v>
      </c>
      <c r="K14" s="41">
        <v>46043</v>
      </c>
      <c r="L14" s="42"/>
      <c r="M14" s="43"/>
      <c r="N14" s="141" t="s">
        <v>118</v>
      </c>
      <c r="O14" s="31" t="s">
        <v>126</v>
      </c>
      <c r="P14" s="44" t="s">
        <v>119</v>
      </c>
      <c r="Q14" s="158" t="s">
        <v>97</v>
      </c>
      <c r="R14" s="37">
        <v>8926.6</v>
      </c>
      <c r="S14" s="35"/>
    </row>
    <row r="15" spans="1:20" ht="62.25" customHeight="1" x14ac:dyDescent="0.3">
      <c r="A15" s="130" t="s">
        <v>80</v>
      </c>
      <c r="B15" s="7" t="s">
        <v>21</v>
      </c>
      <c r="C15" s="7">
        <v>694</v>
      </c>
      <c r="D15" s="101" t="s">
        <v>67</v>
      </c>
      <c r="E15" s="170" t="s">
        <v>85</v>
      </c>
      <c r="F15" s="101">
        <v>4</v>
      </c>
      <c r="G15" s="144" t="s">
        <v>86</v>
      </c>
      <c r="H15" s="39">
        <v>42751</v>
      </c>
      <c r="I15" s="40" t="s">
        <v>82</v>
      </c>
      <c r="J15" s="126">
        <v>1</v>
      </c>
      <c r="K15" s="39">
        <v>46070</v>
      </c>
      <c r="L15" s="143" t="s">
        <v>92</v>
      </c>
      <c r="M15" s="43"/>
      <c r="N15" s="43" t="s">
        <v>94</v>
      </c>
      <c r="O15" s="36"/>
      <c r="P15" s="44" t="s">
        <v>87</v>
      </c>
      <c r="Q15" s="45">
        <v>46087</v>
      </c>
      <c r="R15" s="37">
        <v>3287.62</v>
      </c>
      <c r="S15" s="135" t="s">
        <v>88</v>
      </c>
    </row>
    <row r="16" spans="1:20" x14ac:dyDescent="0.3">
      <c r="A16" s="57"/>
      <c r="B16" s="58"/>
      <c r="C16" s="16"/>
      <c r="D16" s="17"/>
      <c r="E16" s="16"/>
      <c r="F16" s="15"/>
      <c r="G16" s="59"/>
      <c r="H16" s="60"/>
      <c r="I16" s="19"/>
      <c r="J16" s="127">
        <f>SUM(J12:J15)</f>
        <v>4</v>
      </c>
      <c r="K16" s="28"/>
      <c r="L16" s="28"/>
      <c r="M16" s="21"/>
      <c r="N16" s="21"/>
      <c r="O16" s="53"/>
      <c r="P16" s="22"/>
      <c r="Q16" s="20"/>
      <c r="R16" s="23"/>
      <c r="S16" s="24"/>
    </row>
    <row r="17" spans="1:19" ht="46.8" x14ac:dyDescent="0.45">
      <c r="A17" s="113" t="s">
        <v>47</v>
      </c>
      <c r="B17" s="114"/>
      <c r="C17" s="115"/>
      <c r="D17" s="116"/>
      <c r="E17" s="115"/>
      <c r="F17" s="114"/>
      <c r="G17" s="117"/>
      <c r="H17" s="117"/>
      <c r="I17" s="118"/>
      <c r="J17" s="114"/>
      <c r="K17" s="119"/>
      <c r="L17" s="119"/>
      <c r="M17" s="120"/>
      <c r="N17" s="120"/>
      <c r="O17" s="120"/>
      <c r="P17" s="121"/>
      <c r="Q17" s="122"/>
      <c r="R17" s="123"/>
      <c r="S17" s="124"/>
    </row>
    <row r="18" spans="1:19" ht="50.25" customHeight="1" x14ac:dyDescent="0.3">
      <c r="A18" s="130" t="s">
        <v>37</v>
      </c>
      <c r="B18" s="7" t="s">
        <v>38</v>
      </c>
      <c r="C18" s="7">
        <v>7683</v>
      </c>
      <c r="D18" s="101" t="s">
        <v>39</v>
      </c>
      <c r="E18" s="170" t="s">
        <v>128</v>
      </c>
      <c r="F18" s="101">
        <v>6</v>
      </c>
      <c r="G18" s="25" t="s">
        <v>24</v>
      </c>
      <c r="H18" s="39">
        <v>44542</v>
      </c>
      <c r="I18" s="40"/>
      <c r="J18" s="126">
        <v>1</v>
      </c>
      <c r="K18" s="41">
        <v>45719</v>
      </c>
      <c r="L18" s="26"/>
      <c r="M18" s="43" t="s">
        <v>40</v>
      </c>
      <c r="N18" s="43" t="s">
        <v>127</v>
      </c>
      <c r="O18" s="36"/>
      <c r="P18" s="44"/>
      <c r="Q18" s="45"/>
      <c r="R18" s="34"/>
      <c r="S18" s="135"/>
    </row>
    <row r="19" spans="1:19" ht="31.5" customHeight="1" x14ac:dyDescent="0.3">
      <c r="A19" s="130" t="s">
        <v>108</v>
      </c>
      <c r="B19" s="7" t="s">
        <v>21</v>
      </c>
      <c r="C19" s="7">
        <v>519</v>
      </c>
      <c r="D19" s="101" t="s">
        <v>39</v>
      </c>
      <c r="E19" s="170">
        <v>796</v>
      </c>
      <c r="F19" s="101">
        <v>4</v>
      </c>
      <c r="G19" s="25" t="s">
        <v>24</v>
      </c>
      <c r="H19" s="39">
        <v>40179</v>
      </c>
      <c r="I19" s="40" t="s">
        <v>114</v>
      </c>
      <c r="J19" s="126">
        <v>1</v>
      </c>
      <c r="K19" s="41">
        <v>46098</v>
      </c>
      <c r="L19" s="26"/>
      <c r="M19" s="43"/>
      <c r="N19" s="43" t="s">
        <v>115</v>
      </c>
      <c r="O19" s="31" t="s">
        <v>113</v>
      </c>
      <c r="P19" s="44" t="s">
        <v>112</v>
      </c>
      <c r="Q19" s="158" t="s">
        <v>97</v>
      </c>
      <c r="R19" s="34">
        <v>909.49</v>
      </c>
      <c r="S19" s="135"/>
    </row>
    <row r="20" spans="1:19" ht="31.5" customHeight="1" x14ac:dyDescent="0.3">
      <c r="A20" s="130" t="s">
        <v>109</v>
      </c>
      <c r="B20" s="7" t="s">
        <v>21</v>
      </c>
      <c r="C20" s="7">
        <v>581</v>
      </c>
      <c r="D20" s="101" t="s">
        <v>67</v>
      </c>
      <c r="E20" s="170">
        <v>1113</v>
      </c>
      <c r="F20" s="101">
        <v>3</v>
      </c>
      <c r="G20" s="25" t="s">
        <v>32</v>
      </c>
      <c r="H20" s="39">
        <v>41951</v>
      </c>
      <c r="I20" s="40" t="s">
        <v>110</v>
      </c>
      <c r="J20" s="126">
        <v>1</v>
      </c>
      <c r="K20" s="41">
        <v>46106</v>
      </c>
      <c r="L20" s="26"/>
      <c r="M20" s="43"/>
      <c r="N20" s="43" t="s">
        <v>111</v>
      </c>
      <c r="O20" s="31" t="s">
        <v>116</v>
      </c>
      <c r="P20" s="44"/>
      <c r="Q20" s="45"/>
      <c r="R20" s="34"/>
      <c r="S20" s="135"/>
    </row>
    <row r="21" spans="1:19" x14ac:dyDescent="0.3">
      <c r="A21" s="61"/>
      <c r="B21" s="62"/>
      <c r="C21" s="63"/>
      <c r="E21" s="63"/>
      <c r="G21" s="61"/>
      <c r="H21" s="61"/>
      <c r="I21" s="64"/>
      <c r="J21" s="128">
        <f>SUM(J18:J20)</f>
        <v>3</v>
      </c>
      <c r="K21" s="65"/>
      <c r="L21" s="65"/>
      <c r="P21" s="65"/>
      <c r="Q21" s="65"/>
      <c r="R21" s="66"/>
      <c r="S21" s="67"/>
    </row>
    <row r="22" spans="1:19" ht="23.4" hidden="1" x14ac:dyDescent="0.45">
      <c r="A22" s="113" t="s">
        <v>104</v>
      </c>
      <c r="B22" s="114"/>
      <c r="C22" s="115"/>
      <c r="D22" s="116"/>
      <c r="E22" s="115"/>
      <c r="F22" s="114"/>
      <c r="G22" s="117"/>
      <c r="H22" s="117"/>
      <c r="I22" s="118"/>
      <c r="J22" s="114"/>
      <c r="K22" s="119"/>
      <c r="L22" s="119"/>
      <c r="M22" s="120"/>
      <c r="N22" s="120"/>
      <c r="O22" s="120"/>
      <c r="P22" s="121"/>
      <c r="Q22" s="122"/>
      <c r="R22" s="123"/>
      <c r="S22" s="124"/>
    </row>
    <row r="23" spans="1:19" ht="15" hidden="1" customHeight="1" x14ac:dyDescent="0.3">
      <c r="A23" s="61"/>
      <c r="B23" s="62"/>
      <c r="C23" s="63"/>
      <c r="E23" s="63"/>
      <c r="G23" s="61"/>
      <c r="H23" s="61"/>
      <c r="I23" s="64"/>
      <c r="J23" s="128" t="e">
        <f>SUM(#REF!)</f>
        <v>#REF!</v>
      </c>
      <c r="K23" s="65"/>
      <c r="L23" s="65"/>
      <c r="P23" s="65"/>
      <c r="Q23" s="65"/>
      <c r="R23" s="66"/>
      <c r="S23" s="67"/>
    </row>
    <row r="24" spans="1:19" ht="21.75" customHeight="1" x14ac:dyDescent="0.3">
      <c r="A24" s="150"/>
      <c r="B24" s="67"/>
      <c r="C24" s="67"/>
      <c r="D24" s="67"/>
      <c r="E24" s="67"/>
      <c r="F24" s="67"/>
      <c r="G24" s="154"/>
      <c r="H24" s="151"/>
      <c r="I24" s="155"/>
      <c r="J24" s="62"/>
      <c r="K24" s="70"/>
      <c r="L24" s="151"/>
      <c r="M24" s="71"/>
      <c r="N24" s="71"/>
      <c r="O24" s="151"/>
      <c r="P24" s="152"/>
      <c r="Q24" s="152"/>
      <c r="R24" s="149"/>
      <c r="S24" s="153"/>
    </row>
    <row r="25" spans="1:19" x14ac:dyDescent="0.3">
      <c r="A25" s="61"/>
      <c r="B25" s="62"/>
      <c r="C25" s="63"/>
      <c r="D25" s="68"/>
      <c r="E25" s="159"/>
      <c r="F25" s="160"/>
      <c r="G25" s="17">
        <f>H34</f>
        <v>209</v>
      </c>
      <c r="H25" s="167" t="s">
        <v>48</v>
      </c>
      <c r="I25" s="167"/>
      <c r="J25" s="69" t="s">
        <v>49</v>
      </c>
      <c r="K25" s="70"/>
      <c r="L25" s="70"/>
      <c r="M25" s="71"/>
      <c r="N25" s="71"/>
      <c r="P25" s="65"/>
      <c r="Q25" s="65"/>
      <c r="R25" s="66"/>
      <c r="S25" s="67"/>
    </row>
    <row r="26" spans="1:19" ht="18" x14ac:dyDescent="0.35">
      <c r="A26" s="61"/>
      <c r="B26" s="62"/>
      <c r="C26" s="63"/>
      <c r="D26" s="72"/>
      <c r="E26" s="161"/>
      <c r="F26" s="162"/>
      <c r="G26" s="73">
        <f>J21+J16+J10</f>
        <v>12</v>
      </c>
      <c r="H26" s="168" t="s">
        <v>50</v>
      </c>
      <c r="I26" s="168"/>
      <c r="J26" s="74">
        <f>G26/G27</f>
        <v>6.0913705583756347E-2</v>
      </c>
      <c r="K26" s="65"/>
      <c r="L26" s="65"/>
      <c r="P26" s="65"/>
      <c r="Q26" s="65"/>
      <c r="R26" s="66"/>
      <c r="S26" s="67"/>
    </row>
    <row r="27" spans="1:19" x14ac:dyDescent="0.3">
      <c r="A27" s="61"/>
      <c r="B27" s="62"/>
      <c r="C27" s="63"/>
      <c r="E27" s="63"/>
      <c r="G27" s="75">
        <f>G25-G26</f>
        <v>197</v>
      </c>
      <c r="H27" s="169" t="s">
        <v>51</v>
      </c>
      <c r="I27" s="169"/>
      <c r="J27" s="76">
        <f>100%-J26</f>
        <v>0.93908629441624369</v>
      </c>
      <c r="K27" s="65"/>
      <c r="L27" s="65"/>
      <c r="P27" s="65"/>
      <c r="Q27" s="65"/>
      <c r="R27" s="66"/>
      <c r="S27" s="67"/>
    </row>
    <row r="28" spans="1:19" x14ac:dyDescent="0.3">
      <c r="A28" s="61"/>
      <c r="B28" s="62"/>
      <c r="C28" s="63"/>
      <c r="D28" s="77"/>
      <c r="E28" s="63"/>
      <c r="I28" s="64"/>
      <c r="K28" s="65"/>
      <c r="L28" s="65"/>
      <c r="O28" s="78"/>
      <c r="P28" s="65"/>
      <c r="Q28" s="65"/>
      <c r="R28" s="66"/>
      <c r="S28" s="67"/>
    </row>
    <row r="29" spans="1:19" x14ac:dyDescent="0.3">
      <c r="A29" s="61"/>
      <c r="B29" s="62"/>
      <c r="C29" s="163" t="s">
        <v>52</v>
      </c>
      <c r="D29" s="163"/>
      <c r="E29" s="163"/>
      <c r="F29" s="79">
        <f>J10</f>
        <v>5</v>
      </c>
      <c r="G29" s="80" t="s">
        <v>53</v>
      </c>
      <c r="H29" s="81">
        <v>78</v>
      </c>
      <c r="I29" s="19" t="s">
        <v>54</v>
      </c>
      <c r="J29" s="82">
        <f>F29/H29</f>
        <v>6.4102564102564097E-2</v>
      </c>
      <c r="K29" s="83" t="s">
        <v>55</v>
      </c>
      <c r="L29" s="65"/>
      <c r="O29" s="84"/>
      <c r="P29" s="65"/>
      <c r="Q29" s="65"/>
      <c r="R29" s="66"/>
      <c r="S29" s="67"/>
    </row>
    <row r="30" spans="1:19" x14ac:dyDescent="0.3">
      <c r="A30" s="61"/>
      <c r="B30" s="62"/>
      <c r="C30" s="163" t="s">
        <v>56</v>
      </c>
      <c r="D30" s="163"/>
      <c r="E30" s="163"/>
      <c r="F30" s="79">
        <f>J16</f>
        <v>4</v>
      </c>
      <c r="G30" s="80" t="s">
        <v>53</v>
      </c>
      <c r="H30" s="81">
        <v>42</v>
      </c>
      <c r="I30" s="19" t="s">
        <v>54</v>
      </c>
      <c r="J30" s="82">
        <f>F30/H30</f>
        <v>9.5238095238095233E-2</v>
      </c>
      <c r="K30" s="83" t="s">
        <v>57</v>
      </c>
      <c r="L30" s="65"/>
      <c r="O30" s="84"/>
      <c r="P30" s="65"/>
      <c r="Q30" s="65"/>
      <c r="R30" s="66"/>
      <c r="S30" s="67"/>
    </row>
    <row r="31" spans="1:19" x14ac:dyDescent="0.3">
      <c r="A31" s="61"/>
      <c r="B31" s="62"/>
      <c r="C31" s="164" t="s">
        <v>58</v>
      </c>
      <c r="D31" s="164"/>
      <c r="E31" s="164"/>
      <c r="F31" s="85">
        <f>J21</f>
        <v>3</v>
      </c>
      <c r="G31" s="86" t="s">
        <v>53</v>
      </c>
      <c r="H31" s="81">
        <v>80</v>
      </c>
      <c r="I31" s="87" t="s">
        <v>54</v>
      </c>
      <c r="J31" s="88">
        <f>F31/H31</f>
        <v>3.7499999999999999E-2</v>
      </c>
      <c r="K31" s="89" t="s">
        <v>59</v>
      </c>
      <c r="L31" s="65"/>
      <c r="O31" s="84"/>
      <c r="P31" s="65"/>
      <c r="Q31" s="65"/>
      <c r="R31" s="66"/>
      <c r="S31" s="67"/>
    </row>
    <row r="32" spans="1:19" x14ac:dyDescent="0.3">
      <c r="A32" s="61"/>
      <c r="B32" s="62"/>
      <c r="C32" s="90" t="s">
        <v>84</v>
      </c>
      <c r="D32" s="91"/>
      <c r="E32" s="92"/>
      <c r="F32" s="79">
        <v>0</v>
      </c>
      <c r="G32" s="80" t="s">
        <v>53</v>
      </c>
      <c r="H32" s="81">
        <v>2</v>
      </c>
      <c r="I32" s="17" t="s">
        <v>54</v>
      </c>
      <c r="J32" s="88">
        <f>F32/H32</f>
        <v>0</v>
      </c>
      <c r="K32" s="89" t="s">
        <v>60</v>
      </c>
      <c r="L32" s="65"/>
      <c r="O32" s="84"/>
      <c r="P32" s="65"/>
      <c r="Q32" s="65"/>
      <c r="R32" s="66"/>
      <c r="S32" s="67"/>
    </row>
    <row r="33" spans="1:19" x14ac:dyDescent="0.3">
      <c r="A33" s="61"/>
      <c r="B33" s="62"/>
      <c r="C33" s="131" t="s">
        <v>83</v>
      </c>
      <c r="D33" s="132"/>
      <c r="E33" s="131"/>
      <c r="F33" s="79">
        <v>0</v>
      </c>
      <c r="G33" s="80" t="s">
        <v>53</v>
      </c>
      <c r="H33" s="133">
        <v>7</v>
      </c>
      <c r="I33" s="19" t="s">
        <v>64</v>
      </c>
      <c r="J33" s="88">
        <f>F33/H33</f>
        <v>0</v>
      </c>
      <c r="K33" s="89" t="s">
        <v>63</v>
      </c>
      <c r="L33" s="65"/>
      <c r="O33" s="84"/>
      <c r="P33" s="65"/>
      <c r="Q33" s="65"/>
      <c r="R33" s="66"/>
      <c r="S33" s="67"/>
    </row>
    <row r="34" spans="1:19" x14ac:dyDescent="0.3">
      <c r="A34" s="61"/>
      <c r="B34" s="62"/>
      <c r="C34" s="93"/>
      <c r="D34" s="94"/>
      <c r="E34" s="93"/>
      <c r="F34" s="94"/>
      <c r="G34" s="94"/>
      <c r="H34" s="49">
        <f>SUM(H29:H33)</f>
        <v>209</v>
      </c>
      <c r="I34" s="95"/>
      <c r="J34" s="94"/>
      <c r="K34" s="96"/>
      <c r="L34" s="65"/>
      <c r="P34" s="65"/>
      <c r="Q34" s="65"/>
      <c r="R34" s="66"/>
      <c r="S34" s="67"/>
    </row>
    <row r="35" spans="1:19" ht="15" thickBot="1" x14ac:dyDescent="0.35">
      <c r="A35" s="61"/>
      <c r="B35" s="62"/>
      <c r="C35" s="63"/>
      <c r="E35" s="63"/>
      <c r="G35" s="61"/>
      <c r="H35" s="61"/>
      <c r="I35" s="64"/>
      <c r="K35" s="65"/>
      <c r="L35" s="65"/>
      <c r="P35" s="65"/>
      <c r="Q35" s="65"/>
      <c r="R35" s="66"/>
      <c r="S35" s="67"/>
    </row>
    <row r="36" spans="1:19" x14ac:dyDescent="0.3">
      <c r="A36" s="61"/>
      <c r="B36" s="62"/>
      <c r="C36" s="63"/>
      <c r="E36" s="63"/>
      <c r="G36" s="97" t="s">
        <v>61</v>
      </c>
      <c r="H36" s="98">
        <v>1</v>
      </c>
      <c r="I36" s="99" t="s">
        <v>62</v>
      </c>
      <c r="K36" s="65"/>
      <c r="L36" s="65"/>
      <c r="P36" s="65"/>
      <c r="Q36" s="65"/>
      <c r="R36" s="66"/>
      <c r="S36" s="67"/>
    </row>
    <row r="37" spans="1:19" ht="29.4" thickBot="1" x14ac:dyDescent="0.35">
      <c r="A37" s="61"/>
      <c r="B37" s="62"/>
      <c r="C37" s="63"/>
      <c r="E37" s="63"/>
      <c r="G37" s="136" t="s">
        <v>61</v>
      </c>
      <c r="H37" s="137">
        <v>4</v>
      </c>
      <c r="I37" s="138" t="s">
        <v>72</v>
      </c>
      <c r="K37" s="65"/>
      <c r="L37" s="65"/>
      <c r="P37" s="65"/>
      <c r="Q37" s="65"/>
      <c r="R37" s="66"/>
      <c r="S37" s="67"/>
    </row>
  </sheetData>
  <mergeCells count="7">
    <mergeCell ref="C29:E29"/>
    <mergeCell ref="C30:E30"/>
    <mergeCell ref="C31:E31"/>
    <mergeCell ref="A1:O1"/>
    <mergeCell ref="H25:I25"/>
    <mergeCell ref="H26:I26"/>
    <mergeCell ref="H27:I27"/>
  </mergeCells>
  <phoneticPr fontId="17" type="noConversion"/>
  <pageMargins left="3.937007874015748E-2" right="3.937007874015748E-2" top="0.15748031496062992" bottom="0.15748031496062992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BACHELIER Muriel</dc:creator>
  <cp:lastModifiedBy>BACHELIER Muriel</cp:lastModifiedBy>
  <cp:lastPrinted>2026-03-17T03:44:27Z</cp:lastPrinted>
  <dcterms:created xsi:type="dcterms:W3CDTF">2026-01-19T10:42:35Z</dcterms:created>
  <dcterms:modified xsi:type="dcterms:W3CDTF">2026-04-08T04:20:00Z</dcterms:modified>
</cp:coreProperties>
</file>