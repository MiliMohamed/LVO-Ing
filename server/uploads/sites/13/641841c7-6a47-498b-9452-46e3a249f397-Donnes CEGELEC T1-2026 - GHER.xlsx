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.sharepoint.com/sites/ttc-ID4192/Documents partages/02-Service Maintenance/05 -  OLD/Marchés/Marché 2023 GHER HOPITAL ST BENOIT/CUS 25/CUS 2026/"/>
    </mc:Choice>
  </mc:AlternateContent>
  <xr:revisionPtr revIDLastSave="2505" documentId="13_ncr:1_{15D2EBF3-963F-4A00-B466-0F8C89900389}" xr6:coauthVersionLast="47" xr6:coauthVersionMax="47" xr10:uidLastSave="{23DC21EC-6436-455C-92E4-7D2C56F85A7F}"/>
  <bookViews>
    <workbookView xWindow="-28920" yWindow="-45" windowWidth="29040" windowHeight="15720" tabRatio="258" firstSheet="1" activeTab="2" xr2:uid="{F5460C16-1190-44F7-9DF7-A1D6367D84AE}"/>
  </bookViews>
  <sheets>
    <sheet name="Feuil1" sheetId="4" state="hidden" r:id="rId1"/>
    <sheet name="Maintenance" sheetId="1" r:id="rId2"/>
    <sheet name="Intervention et dépannage" sheetId="2" r:id="rId3"/>
  </sheets>
  <definedNames>
    <definedName name="_xlnm._FilterDatabase" localSheetId="2" hidden="1">'Intervention et dépannage'!$A$2:$N$16</definedName>
    <definedName name="_xlnm._FilterDatabase" localSheetId="1" hidden="1">Maintenance!$A$2:$I$32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I13" i="2"/>
  <c r="J12" i="2"/>
  <c r="I12" i="2"/>
  <c r="J9" i="2"/>
  <c r="I9" i="2"/>
  <c r="J11" i="2"/>
  <c r="I11" i="2"/>
  <c r="J16" i="2"/>
  <c r="I16" i="2"/>
  <c r="J15" i="2"/>
  <c r="I15" i="2"/>
  <c r="J4" i="2"/>
  <c r="I4" i="2"/>
  <c r="J7" i="2"/>
  <c r="I7" i="2"/>
  <c r="J5" i="2"/>
  <c r="I5" i="2"/>
  <c r="J10" i="2"/>
  <c r="I10" i="2"/>
  <c r="J6" i="2"/>
  <c r="I6" i="2"/>
  <c r="J3" i="2"/>
  <c r="I3" i="2"/>
  <c r="J8" i="2"/>
  <c r="I8" i="2"/>
  <c r="J14" i="2"/>
  <c r="I14" i="2"/>
</calcChain>
</file>

<file path=xl/sharedStrings.xml><?xml version="1.0" encoding="utf-8"?>
<sst xmlns="http://schemas.openxmlformats.org/spreadsheetml/2006/main" count="278" uniqueCount="75">
  <si>
    <t xml:space="preserve">Maintenance Preventive </t>
  </si>
  <si>
    <t>Ascenseur</t>
  </si>
  <si>
    <t>Date Début</t>
  </si>
  <si>
    <t>Heure Déb</t>
  </si>
  <si>
    <t>Date Fin</t>
  </si>
  <si>
    <t>Heure</t>
  </si>
  <si>
    <t>Nom technicien</t>
  </si>
  <si>
    <t xml:space="preserve">Type de Maintenance </t>
  </si>
  <si>
    <t xml:space="preserve">Matériel Changé </t>
  </si>
  <si>
    <t>AM450024</t>
  </si>
  <si>
    <t>DUBOURG Joel</t>
  </si>
  <si>
    <t>AM450025</t>
  </si>
  <si>
    <t>AM450026</t>
  </si>
  <si>
    <t>AM450027</t>
  </si>
  <si>
    <t>AM450028</t>
  </si>
  <si>
    <t>AM450029</t>
  </si>
  <si>
    <t>AM450030</t>
  </si>
  <si>
    <t>AM450031</t>
  </si>
  <si>
    <t>AM450032</t>
  </si>
  <si>
    <t>AM450033</t>
  </si>
  <si>
    <t>Appel client</t>
  </si>
  <si>
    <t>Intervention technicien</t>
  </si>
  <si>
    <t>Date</t>
  </si>
  <si>
    <t>Nom appelant</t>
  </si>
  <si>
    <t>Heure fin</t>
  </si>
  <si>
    <t xml:space="preserve">Hr intervenu </t>
  </si>
  <si>
    <t>cause de la panne</t>
  </si>
  <si>
    <t>Matériel sur lequel la panne est détectée</t>
  </si>
  <si>
    <t>Type de panne</t>
  </si>
  <si>
    <t xml:space="preserve">Défaillance technique </t>
  </si>
  <si>
    <t>DUBOURG Joël</t>
  </si>
  <si>
    <t>DUFOUR  Juanito Albert</t>
  </si>
  <si>
    <t xml:space="preserve">AM450029 </t>
  </si>
  <si>
    <t>Étiquettes de lignes</t>
  </si>
  <si>
    <t>Total général</t>
  </si>
  <si>
    <t>janv</t>
  </si>
  <si>
    <t>févr</t>
  </si>
  <si>
    <t>avr</t>
  </si>
  <si>
    <t>mai</t>
  </si>
  <si>
    <t>juin</t>
  </si>
  <si>
    <t>août</t>
  </si>
  <si>
    <t>sept</t>
  </si>
  <si>
    <t>nov</t>
  </si>
  <si>
    <t>Nombre de Date Fin</t>
  </si>
  <si>
    <t>BALAKISTIN Even</t>
  </si>
  <si>
    <t>Hr intervention</t>
  </si>
  <si>
    <t xml:space="preserve">DUBOURG Joel </t>
  </si>
  <si>
    <t xml:space="preserve">Visite d'entretien </t>
  </si>
  <si>
    <t xml:space="preserve">DUBOURG  Joel </t>
  </si>
  <si>
    <t xml:space="preserve">DIVERS - EN SERVICE A L'ARRIVEE  </t>
  </si>
  <si>
    <t xml:space="preserve">&gt; Ascenseur fonctionnel </t>
  </si>
  <si>
    <t xml:space="preserve">AROQUIOM Jean-François </t>
  </si>
  <si>
    <t xml:space="preserve">PORTE AUTO CABINE - OPERATEUR - AUTRES </t>
  </si>
  <si>
    <t xml:space="preserve">&gt; Recherche de panne défaut porte cabine 
&gt; Contrôle, réglage remise en service </t>
  </si>
  <si>
    <t xml:space="preserve">PORTE AUTO CABINE -  VANTAUX - DEREGLE </t>
  </si>
  <si>
    <t xml:space="preserve">&gt; Réglage porte cabine 
&gt; Essais </t>
  </si>
  <si>
    <t xml:space="preserve">Défaillance tecnique </t>
  </si>
  <si>
    <t xml:space="preserve">&gt; Appareil fonctionnel </t>
  </si>
  <si>
    <t xml:space="preserve">PORTE AUTO CABINE - VANTAUX </t>
  </si>
  <si>
    <t xml:space="preserve">PORTE PALIERE AUTOMATIQUE - VANTAUX </t>
  </si>
  <si>
    <t xml:space="preserve">GAINE SELECTION DETECTION - IMPULSEUR MAGNETIQUE </t>
  </si>
  <si>
    <t xml:space="preserve">LOCAL MACHINERIE - ALIMENTATION FORCE - AUTRES </t>
  </si>
  <si>
    <t xml:space="preserve"> &gt; Recherche de panne, défaut coupure secteur 
&gt; Remise en service 
&gt; Essais </t>
  </si>
  <si>
    <t xml:space="preserve">ARMOIRE A MICROPROCESSEUR - CARTE DE BASE </t>
  </si>
  <si>
    <t xml:space="preserve">&gt; Demande de remplacement bloc d'alimentation et capteur de séléction </t>
  </si>
  <si>
    <t xml:space="preserve">&gt; Commande de pièce en cours </t>
  </si>
  <si>
    <t xml:space="preserve">DIVERS - ACCESOIRE CABINE </t>
  </si>
  <si>
    <t xml:space="preserve">&gt; Barre d'appuie cabine hs </t>
  </si>
  <si>
    <t xml:space="preserve">PORTE PALIERE AUTOMATIQUE - VANTAUX - DEREGLE </t>
  </si>
  <si>
    <t xml:space="preserve"> &gt; Remise en service 
&gt; Essais 
&gt;  Réglage porte palière et de la cabine rdc </t>
  </si>
  <si>
    <t xml:space="preserve">JACQUEMART Charles-André </t>
  </si>
  <si>
    <t xml:space="preserve">PORTE PALIERE BATTANTE ET COULISSANTE - PORTE FERME </t>
  </si>
  <si>
    <t xml:space="preserve"> &gt; Défaut de porte RDC 
 &gt; Réglage et remise en service 
 &gt; Essais </t>
  </si>
  <si>
    <t xml:space="preserve">Cause extérieure </t>
  </si>
  <si>
    <t xml:space="preserve"> &gt; Appareil fonctionnel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</si>
</sst>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#####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2" fillId="3" borderId="3" xfId="0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right"/>
    </xf>
    <xf numFmtId="0" fontId="1" fillId="0" borderId="0" xfId="0" applyFont="1"/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20" fontId="9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8" fillId="0" borderId="5" xfId="1" applyNumberFormat="1" applyFont="1" applyFill="1" applyBorder="1" applyAlignment="1" applyProtection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8" fillId="0" borderId="6" xfId="1" applyNumberFormat="1" applyFont="1" applyFill="1" applyBorder="1" applyAlignment="1" applyProtection="1">
      <alignment horizontal="left" vertical="center"/>
    </xf>
    <xf numFmtId="0" fontId="0" fillId="0" borderId="5" xfId="0" applyBorder="1"/>
    <xf numFmtId="20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20" fontId="0" fillId="4" borderId="6" xfId="0" applyNumberFormat="1" applyFill="1" applyBorder="1" applyAlignment="1">
      <alignment horizontal="right"/>
    </xf>
    <xf numFmtId="165" fontId="0" fillId="0" borderId="6" xfId="0" applyNumberFormat="1" applyBorder="1" applyAlignment="1" applyProtection="1">
      <alignment horizontal="right"/>
      <protection locked="0"/>
    </xf>
    <xf numFmtId="14" fontId="0" fillId="0" borderId="5" xfId="0" applyNumberFormat="1" applyBorder="1" applyAlignment="1">
      <alignment horizontal="right"/>
    </xf>
    <xf numFmtId="20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right"/>
      <protection locked="0"/>
    </xf>
    <xf numFmtId="165" fontId="0" fillId="0" borderId="10" xfId="0" applyNumberFormat="1" applyBorder="1" applyAlignment="1" applyProtection="1">
      <alignment horizontal="right"/>
      <protection locked="0"/>
    </xf>
    <xf numFmtId="14" fontId="0" fillId="0" borderId="6" xfId="0" applyNumberFormat="1" applyBorder="1"/>
    <xf numFmtId="20" fontId="0" fillId="0" borderId="6" xfId="0" applyNumberFormat="1" applyBorder="1"/>
    <xf numFmtId="14" fontId="0" fillId="0" borderId="6" xfId="0" applyNumberFormat="1" applyBorder="1" applyAlignment="1">
      <alignment horizontal="center"/>
    </xf>
    <xf numFmtId="0" fontId="8" fillId="0" borderId="6" xfId="1" applyNumberFormat="1" applyFont="1" applyFill="1" applyBorder="1" applyAlignment="1" applyProtection="1">
      <alignment horizontal="left"/>
    </xf>
    <xf numFmtId="0" fontId="0" fillId="0" borderId="6" xfId="0" applyBorder="1" applyAlignment="1">
      <alignment horizontal="left"/>
    </xf>
    <xf numFmtId="20" fontId="1" fillId="0" borderId="6" xfId="0" applyNumberFormat="1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20" fontId="0" fillId="0" borderId="0" xfId="0" applyNumberFormat="1"/>
    <xf numFmtId="0" fontId="8" fillId="0" borderId="9" xfId="1" applyNumberFormat="1" applyFont="1" applyFill="1" applyBorder="1" applyAlignment="1" applyProtection="1">
      <alignment horizontal="left"/>
    </xf>
    <xf numFmtId="0" fontId="10" fillId="0" borderId="9" xfId="0" applyFont="1" applyBorder="1" applyAlignment="1">
      <alignment horizontal="left" vertical="center" wrapText="1"/>
    </xf>
    <xf numFmtId="0" fontId="0" fillId="0" borderId="9" xfId="0" applyBorder="1"/>
    <xf numFmtId="14" fontId="0" fillId="0" borderId="5" xfId="0" applyNumberFormat="1" applyBorder="1"/>
    <xf numFmtId="20" fontId="0" fillId="0" borderId="5" xfId="0" applyNumberFormat="1" applyBorder="1"/>
    <xf numFmtId="0" fontId="0" fillId="0" borderId="6" xfId="0" applyBorder="1" applyAlignment="1">
      <alignment horizontal="left" wrapText="1"/>
    </xf>
    <xf numFmtId="20" fontId="1" fillId="0" borderId="5" xfId="0" applyNumberFormat="1" applyFont="1" applyBorder="1" applyAlignment="1">
      <alignment horizontal="center"/>
    </xf>
    <xf numFmtId="0" fontId="10" fillId="0" borderId="13" xfId="0" applyFont="1" applyBorder="1" applyAlignment="1">
      <alignment horizontal="left" vertical="center" wrapText="1"/>
    </xf>
    <xf numFmtId="20" fontId="1" fillId="0" borderId="0" xfId="0" applyNumberFormat="1" applyFont="1"/>
    <xf numFmtId="20" fontId="0" fillId="4" borderId="5" xfId="0" applyNumberFormat="1" applyFill="1" applyBorder="1" applyAlignment="1">
      <alignment horizontal="right"/>
    </xf>
    <xf numFmtId="20" fontId="0" fillId="4" borderId="11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0" borderId="12" xfId="1" applyNumberFormat="1" applyFont="1" applyFill="1" applyBorder="1" applyAlignment="1" applyProtection="1">
      <alignment horizontal="left"/>
    </xf>
    <xf numFmtId="0" fontId="0" fillId="0" borderId="12" xfId="0" applyBorder="1"/>
    <xf numFmtId="0" fontId="10" fillId="0" borderId="0" xfId="0" applyFont="1" applyBorder="1" applyAlignment="1">
      <alignment horizontal="left" vertical="center" wrapText="1"/>
    </xf>
    <xf numFmtId="14" fontId="0" fillId="0" borderId="0" xfId="0" applyNumberFormat="1" applyBorder="1"/>
    <xf numFmtId="20" fontId="0" fillId="0" borderId="0" xfId="0" applyNumberFormat="1" applyBorder="1"/>
    <xf numFmtId="0" fontId="0" fillId="0" borderId="0" xfId="0" applyBorder="1"/>
    <xf numFmtId="20" fontId="1" fillId="0" borderId="6" xfId="0" applyNumberFormat="1" applyFont="1" applyBorder="1"/>
    <xf numFmtId="20" fontId="1" fillId="0" borderId="0" xfId="0" applyNumberFormat="1" applyFont="1" applyBorder="1" applyAlignment="1">
      <alignment horizontal="center"/>
    </xf>
    <xf numFmtId="20" fontId="1" fillId="0" borderId="5" xfId="0" applyNumberFormat="1" applyFont="1" applyBorder="1"/>
    <xf numFmtId="20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3" xfId="0" applyBorder="1"/>
    <xf numFmtId="165" fontId="0" fillId="0" borderId="6" xfId="0" applyNumberFormat="1" applyFill="1" applyBorder="1" applyAlignment="1" applyProtection="1">
      <alignment horizontal="right"/>
      <protection locked="0"/>
    </xf>
  </cellXfs>
  <cellStyles count="2">
    <cellStyle name="Normal" xfId="0" builtinId="0"/>
    <cellStyle name="Normal_Feuil1" xfId="1" xr:uid="{AF2F9C69-9361-4850-A8F3-FB3A136D3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UTIN Nicolas" refreshedDate="46013.739815856483" createdVersion="8" refreshedVersion="8" minRefreshableVersion="3" recordCount="80" xr:uid="{4216D636-F096-403C-BA77-A1DFBB1C57DC}">
  <cacheSource type="worksheet">
    <worksheetSource ref="A2:H28" sheet="Maintenance"/>
  </cacheSource>
  <cacheFields count="10">
    <cacheField name="Ascenseur" numFmtId="0">
      <sharedItems count="10">
        <s v="AM450024"/>
        <s v="AM450025"/>
        <s v="AM450026"/>
        <s v="AM450027"/>
        <s v="AM450028"/>
        <s v="AM450029"/>
        <s v="AM450030"/>
        <s v="AM450031"/>
        <s v="AM450032"/>
        <s v="AM450033"/>
      </sharedItems>
    </cacheField>
    <cacheField name="Date Début" numFmtId="14">
      <sharedItems containsSemiMixedTypes="0" containsNonDate="0" containsDate="1" containsString="0" minDate="2025-01-14T00:00:00" maxDate="2025-11-19T00:00:00" count="14">
        <d v="2025-01-14T00:00:00"/>
        <d v="2025-02-25T00:00:00"/>
        <d v="2025-04-08T00:00:00"/>
        <d v="2025-05-20T00:00:00"/>
        <d v="2025-06-30T00:00:00"/>
        <d v="2025-08-11T00:00:00"/>
        <d v="2025-09-30T00:00:00"/>
        <d v="2025-11-17T00:00:00"/>
        <d v="2025-01-15T00:00:00"/>
        <d v="2025-02-24T00:00:00"/>
        <d v="2025-04-07T00:00:00"/>
        <d v="2025-05-19T00:00:00"/>
        <d v="2025-09-29T00:00:00"/>
        <d v="2025-11-18T00:00:00"/>
      </sharedItems>
      <fieldGroup par="9"/>
    </cacheField>
    <cacheField name="Heure Déb" numFmtId="20">
      <sharedItems containsSemiMixedTypes="0" containsNonDate="0" containsDate="1" containsString="0" minDate="1899-12-30T07:00:00" maxDate="1899-12-30T16:30:00"/>
    </cacheField>
    <cacheField name="Date Fin" numFmtId="20">
      <sharedItems containsSemiMixedTypes="0" containsNonDate="0" containsDate="1" containsString="0" minDate="1899-12-30T08:00:00" maxDate="1899-12-30T17:25:00"/>
    </cacheField>
    <cacheField name="Heure" numFmtId="20">
      <sharedItems containsSemiMixedTypes="0" containsNonDate="0" containsDate="1" containsString="0" minDate="1899-12-30T00:10:00" maxDate="1899-12-30T03:00:00"/>
    </cacheField>
    <cacheField name="Nom technicien" numFmtId="0">
      <sharedItems/>
    </cacheField>
    <cacheField name="Type de Maintenance " numFmtId="0">
      <sharedItems/>
    </cacheField>
    <cacheField name="Matériel Changé " numFmtId="0">
      <sharedItems containsNonDate="0" containsString="0" containsBlank="1"/>
    </cacheField>
    <cacheField name="Jours (Date Début)" numFmtId="0" databaseField="0">
      <fieldGroup base="1">
        <rangePr groupBy="days" startDate="2025-01-14T00:00:00" endDate="2025-11-19T00:00:00"/>
        <groupItems count="368">
          <s v="&lt;14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19/11/2025"/>
        </groupItems>
      </fieldGroup>
    </cacheField>
    <cacheField name="Mois (Date Début)" numFmtId="0" databaseField="0">
      <fieldGroup base="1">
        <rangePr groupBy="months" startDate="2025-01-14T00:00:00" endDate="2025-11-19T00:00:00"/>
        <groupItems count="14">
          <s v="&lt;14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9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d v="1899-12-30T08:30:00"/>
    <d v="1899-12-30T09:15:00"/>
    <d v="1899-12-30T00:45:00"/>
    <s v="DUBOURG Joel"/>
    <s v="Visite d'entretien"/>
    <m/>
  </r>
  <r>
    <x v="0"/>
    <x v="1"/>
    <d v="1899-12-30T14:30:00"/>
    <d v="1899-12-30T15:15:00"/>
    <d v="1899-12-30T00:45:00"/>
    <s v="DUBOURG Joel"/>
    <s v="Visite d'entretien + Contrôle des câbles"/>
    <m/>
  </r>
  <r>
    <x v="0"/>
    <x v="2"/>
    <d v="1899-12-30T08:00:00"/>
    <d v="1899-12-30T09:00:00"/>
    <d v="1899-12-30T01:00:00"/>
    <s v="DUBOURG Joel"/>
    <s v="Visite d'entretien"/>
    <m/>
  </r>
  <r>
    <x v="0"/>
    <x v="3"/>
    <d v="1899-12-30T07:00:00"/>
    <d v="1899-12-30T08:00:00"/>
    <d v="1899-12-30T01:00:00"/>
    <s v="DUBOURG Joel"/>
    <s v="Visite d'entretien"/>
    <m/>
  </r>
  <r>
    <x v="0"/>
    <x v="4"/>
    <d v="1899-12-30T15:00:00"/>
    <d v="1899-12-30T16:15:00"/>
    <d v="1899-12-30T01:15:00"/>
    <s v="DUBOURG Joel"/>
    <s v="Visite d'entretien"/>
    <m/>
  </r>
  <r>
    <x v="0"/>
    <x v="5"/>
    <d v="1899-12-30T07:30:00"/>
    <d v="1899-12-30T08:30:00"/>
    <d v="1899-12-30T01:00:00"/>
    <s v="DUBOURG Joel"/>
    <s v="Visite d'entretien + Contrôle des câbles + parachute"/>
    <m/>
  </r>
  <r>
    <x v="0"/>
    <x v="6"/>
    <d v="1899-12-30T11:24:00"/>
    <d v="1899-12-30T12:00:00"/>
    <d v="1899-12-30T00:36:00"/>
    <s v="DUBOURG Joel"/>
    <s v="Visite d'entretien"/>
    <m/>
  </r>
  <r>
    <x v="0"/>
    <x v="7"/>
    <d v="1899-12-30T16:10:00"/>
    <d v="1899-12-30T16:30:00"/>
    <d v="1899-12-30T00:20:00"/>
    <s v="VIRAPATRIN-VIRIN Jimmy"/>
    <s v="Visite d'entretien"/>
    <m/>
  </r>
  <r>
    <x v="1"/>
    <x v="0"/>
    <d v="1899-12-30T09:15:00"/>
    <d v="1899-12-30T10:00:00"/>
    <d v="1899-12-30T00:45:00"/>
    <s v="DUBOURG Joel"/>
    <s v="Visite d'entretien"/>
    <m/>
  </r>
  <r>
    <x v="1"/>
    <x v="1"/>
    <d v="1899-12-30T15:00:00"/>
    <d v="1899-12-30T15:45:00"/>
    <d v="1899-12-30T00:45:00"/>
    <s v="DUBOURG Joel"/>
    <s v="Visite d'entretien + Contrôle des câbles"/>
    <m/>
  </r>
  <r>
    <x v="1"/>
    <x v="2"/>
    <d v="1899-12-30T07:15:00"/>
    <d v="1899-12-30T08:00:00"/>
    <d v="1899-12-30T00:45:00"/>
    <s v="DUBOURG Joel"/>
    <s v="Visite d'entretien"/>
    <m/>
  </r>
  <r>
    <x v="1"/>
    <x v="3"/>
    <d v="1899-12-30T07:45:00"/>
    <d v="1899-12-30T08:40:00"/>
    <d v="1899-12-30T00:55:00"/>
    <s v="DUBOURG Joel"/>
    <s v="Visite d'entretien"/>
    <m/>
  </r>
  <r>
    <x v="1"/>
    <x v="4"/>
    <d v="1899-12-30T11:00:00"/>
    <d v="1899-12-30T11:45:00"/>
    <d v="1899-12-30T00:45:00"/>
    <s v="DUBOURG Joel"/>
    <s v="Visite d'entretien"/>
    <m/>
  </r>
  <r>
    <x v="1"/>
    <x v="5"/>
    <d v="1899-12-30T08:00:00"/>
    <d v="1899-12-30T09:30:00"/>
    <d v="1899-12-30T01:30:00"/>
    <s v="DUBOURG Joel"/>
    <s v="Visite d'entretien + Contrôle des câbles + parachute"/>
    <m/>
  </r>
  <r>
    <x v="2"/>
    <x v="8"/>
    <d v="1899-12-30T07:00:00"/>
    <d v="1899-12-30T08:00:00"/>
    <d v="1899-12-30T01:00:00"/>
    <s v="DUBOURG Joel"/>
    <s v="Visite d'entretien"/>
    <m/>
  </r>
  <r>
    <x v="2"/>
    <x v="9"/>
    <d v="1899-12-30T11:15:00"/>
    <d v="1899-12-30T12:00:00"/>
    <d v="1899-12-30T00:45:00"/>
    <s v="DUBOURG Joel"/>
    <s v="Visite d'entretien + Contrôle des câbles"/>
    <m/>
  </r>
  <r>
    <x v="2"/>
    <x v="10"/>
    <d v="1899-12-30T08:45:00"/>
    <d v="1899-12-30T09:35:00"/>
    <d v="1899-12-30T00:50:00"/>
    <s v="DUBOURG Joel"/>
    <s v="Visite d'entretien"/>
    <m/>
  </r>
  <r>
    <x v="2"/>
    <x v="11"/>
    <d v="1899-12-30T08:30:00"/>
    <d v="1899-12-30T09:15:00"/>
    <d v="1899-12-30T00:45:00"/>
    <s v="DUBOURG Joel"/>
    <s v="Visite d'entretien"/>
    <m/>
  </r>
  <r>
    <x v="2"/>
    <x v="4"/>
    <d v="1899-12-30T15:30:00"/>
    <d v="1899-12-30T16:15:00"/>
    <d v="1899-12-30T00:45:00"/>
    <s v="DUBOURG Joel"/>
    <s v="Visite d'entretien"/>
    <m/>
  </r>
  <r>
    <x v="2"/>
    <x v="5"/>
    <d v="1899-12-30T08:30:00"/>
    <d v="1899-12-30T10:30:00"/>
    <d v="1899-12-30T02:00:00"/>
    <s v="DUBOURG Joel"/>
    <s v="Visite d'entretien + Contrôle des câbles + parachute"/>
    <m/>
  </r>
  <r>
    <x v="2"/>
    <x v="12"/>
    <d v="1899-12-30T08:00:00"/>
    <d v="1899-12-30T09:00:00"/>
    <d v="1899-12-30T01:00:00"/>
    <s v="DUBOURG Joel"/>
    <s v="Visite d'entretien"/>
    <m/>
  </r>
  <r>
    <x v="2"/>
    <x v="7"/>
    <d v="1899-12-30T13:30:00"/>
    <d v="1899-12-30T13:50:00"/>
    <d v="1899-12-30T00:20:00"/>
    <s v="VIRAPATRIN-VIRIN Jimmy"/>
    <s v="Visite d'entretien"/>
    <m/>
  </r>
  <r>
    <x v="3"/>
    <x v="8"/>
    <d v="1899-12-30T07:45:00"/>
    <d v="1899-12-30T09:00:00"/>
    <d v="1899-12-30T01:15:00"/>
    <s v="DUBOURG Joel"/>
    <s v="Visite d'entretien"/>
    <m/>
  </r>
  <r>
    <x v="3"/>
    <x v="9"/>
    <d v="1899-12-30T12:05:00"/>
    <d v="1899-12-30T13:15:00"/>
    <d v="1899-12-30T01:10:00"/>
    <s v="DUBOURG Joel"/>
    <s v="Visite d'entretien + Contrôle des câbles"/>
    <m/>
  </r>
  <r>
    <x v="3"/>
    <x v="2"/>
    <d v="1899-12-30T09:15:00"/>
    <d v="1899-12-30T09:55:00"/>
    <d v="1899-12-30T00:40:00"/>
    <s v="DUBOURG Joel"/>
    <s v="Visite d'entretien"/>
    <m/>
  </r>
  <r>
    <x v="3"/>
    <x v="3"/>
    <d v="1899-12-30T09:15:00"/>
    <d v="1899-12-30T10:05:00"/>
    <d v="1899-12-30T00:50:00"/>
    <s v="DUBOURG Joel"/>
    <s v="Visite d'entretien"/>
    <m/>
  </r>
  <r>
    <x v="3"/>
    <x v="4"/>
    <d v="1899-12-30T11:30:00"/>
    <d v="1899-12-30T12:05:00"/>
    <d v="1899-12-30T00:35:00"/>
    <s v="DUBOURG Joel"/>
    <s v="Visite d'entretien"/>
    <m/>
  </r>
  <r>
    <x v="3"/>
    <x v="5"/>
    <d v="1899-12-30T09:00:00"/>
    <d v="1899-12-30T11:00:00"/>
    <d v="1899-12-30T02:00:00"/>
    <s v="DUBOURG Joel"/>
    <s v="Visite d'entretien + Contrôle des câbles + parachute"/>
    <m/>
  </r>
  <r>
    <x v="3"/>
    <x v="12"/>
    <d v="1899-12-30T09:30:00"/>
    <d v="1899-12-30T10:00:00"/>
    <d v="1899-12-30T00:30:00"/>
    <s v="DUBOURG Joel"/>
    <s v="Visite d'entretien"/>
    <m/>
  </r>
  <r>
    <x v="3"/>
    <x v="7"/>
    <d v="1899-12-30T14:30:00"/>
    <d v="1899-12-30T15:00:00"/>
    <d v="1899-12-30T00:30:00"/>
    <s v="VIRAPATRIN-VIRIN Jimmy"/>
    <s v="Visite d'entretien"/>
    <m/>
  </r>
  <r>
    <x v="4"/>
    <x v="8"/>
    <d v="1899-12-30T08:30:00"/>
    <d v="1899-12-30T09:20:00"/>
    <d v="1899-12-30T00:50:00"/>
    <s v="DUBOURG Joel"/>
    <s v="Visite d'entretien"/>
    <m/>
  </r>
  <r>
    <x v="4"/>
    <x v="9"/>
    <d v="1899-12-30T13:38:00"/>
    <d v="1899-12-30T14:25:00"/>
    <d v="1899-12-30T00:47:00"/>
    <s v="DUBOURG Joel"/>
    <s v="Visite d'entretien + Contrôle des câbles"/>
    <m/>
  </r>
  <r>
    <x v="4"/>
    <x v="2"/>
    <d v="1899-12-30T09:55:00"/>
    <d v="1899-12-30T10:40:00"/>
    <d v="1899-12-30T00:45:00"/>
    <s v="DUBOURG Joel"/>
    <s v="Visite d'entretien"/>
    <m/>
  </r>
  <r>
    <x v="4"/>
    <x v="3"/>
    <d v="1899-12-30T10:00:00"/>
    <d v="1899-12-30T11:04:00"/>
    <d v="1899-12-30T01:04:00"/>
    <s v="DUBOURG Joel"/>
    <s v="Visite d'entretien"/>
    <m/>
  </r>
  <r>
    <x v="4"/>
    <x v="4"/>
    <d v="1899-12-30T13:00:00"/>
    <d v="1899-12-30T14:06:00"/>
    <d v="1899-12-30T01:06:00"/>
    <s v="DUBOURG Joel"/>
    <s v="Visite d'entretien"/>
    <m/>
  </r>
  <r>
    <x v="4"/>
    <x v="5"/>
    <d v="1899-12-30T09:30:00"/>
    <d v="1899-12-30T11:30:00"/>
    <d v="1899-12-30T02:00:00"/>
    <s v="DUBOURG Joel"/>
    <s v="Visite d'entretien + Contrôle des câbles + parachute"/>
    <m/>
  </r>
  <r>
    <x v="4"/>
    <x v="12"/>
    <d v="1899-12-30T10:00:00"/>
    <d v="1899-12-30T10:30:00"/>
    <d v="1899-12-30T00:30:00"/>
    <s v="DUBOURG Joel"/>
    <s v="Visite d'entretien"/>
    <m/>
  </r>
  <r>
    <x v="4"/>
    <x v="7"/>
    <d v="1899-12-30T14:00:00"/>
    <d v="1899-12-30T14:30:00"/>
    <d v="1899-12-30T00:30:00"/>
    <s v="VIRAPATRIN-VIRIN Jimmy"/>
    <s v="Visite d'entretien"/>
    <m/>
  </r>
  <r>
    <x v="5"/>
    <x v="8"/>
    <d v="1899-12-30T09:15:00"/>
    <d v="1899-12-30T10:05:00"/>
    <d v="1899-12-30T00:50:00"/>
    <s v="DUBOURG Joel"/>
    <s v="Visite d'entretien"/>
    <m/>
  </r>
  <r>
    <x v="5"/>
    <x v="1"/>
    <d v="1899-12-30T11:00:00"/>
    <d v="1899-12-30T11:45:00"/>
    <d v="1899-12-30T00:45:00"/>
    <s v="DUBOURG Joel"/>
    <s v="Visite d'entretien + Contrôle des câbles"/>
    <m/>
  </r>
  <r>
    <x v="5"/>
    <x v="2"/>
    <d v="1899-12-30T10:40:00"/>
    <d v="1899-12-30T11:25:00"/>
    <d v="1899-12-30T00:45:00"/>
    <s v="DUBOURG Joel"/>
    <s v="Visite d'entretien"/>
    <m/>
  </r>
  <r>
    <x v="5"/>
    <x v="3"/>
    <d v="1899-12-30T10:45:00"/>
    <d v="1899-12-30T11:30:00"/>
    <d v="1899-12-30T00:45:00"/>
    <s v="DUBOURG Joel"/>
    <s v="Visite d'entretien"/>
    <m/>
  </r>
  <r>
    <x v="5"/>
    <x v="4"/>
    <d v="1899-12-30T13:30:00"/>
    <d v="1899-12-30T14:09:00"/>
    <d v="1899-12-30T00:39:00"/>
    <s v="DUBOURG Joel"/>
    <s v="Visite d'entretien"/>
    <m/>
  </r>
  <r>
    <x v="5"/>
    <x v="5"/>
    <d v="1899-12-30T10:00:00"/>
    <d v="1899-12-30T12:00:00"/>
    <d v="1899-12-30T02:00:00"/>
    <s v="DUBOURG Joel"/>
    <s v="Visite d'entretien + Contrôle des câbles + parachute"/>
    <m/>
  </r>
  <r>
    <x v="5"/>
    <x v="12"/>
    <d v="1899-12-30T10:30:00"/>
    <d v="1899-12-30T11:00:00"/>
    <d v="1899-12-30T00:30:00"/>
    <s v="DUBOURG Joel"/>
    <s v="Visite d'entretien"/>
    <m/>
  </r>
  <r>
    <x v="6"/>
    <x v="8"/>
    <d v="1899-12-30T10:00:00"/>
    <d v="1899-12-30T10:45:00"/>
    <d v="1899-12-30T00:45:00"/>
    <s v="DUBOURG Joel"/>
    <s v="Visite d'entretien"/>
    <m/>
  </r>
  <r>
    <x v="6"/>
    <x v="1"/>
    <d v="1899-12-30T11:45:00"/>
    <d v="1899-12-30T12:30:00"/>
    <d v="1899-12-30T00:45:00"/>
    <s v="DUBOURG Joel"/>
    <s v="Visite d'entretien + Contrôle des câbles"/>
    <m/>
  </r>
  <r>
    <x v="6"/>
    <x v="2"/>
    <d v="1899-12-30T13:00:00"/>
    <d v="1899-12-30T14:00:00"/>
    <d v="1899-12-30T01:00:00"/>
    <s v="DUBOURG Joel"/>
    <s v="Visite d'entretien"/>
    <m/>
  </r>
  <r>
    <x v="6"/>
    <x v="3"/>
    <d v="1899-12-30T13:45:00"/>
    <d v="1899-12-30T14:30:00"/>
    <d v="1899-12-30T00:45:00"/>
    <s v="DUBOURG Joel"/>
    <s v="Visite d'entretien"/>
    <m/>
  </r>
  <r>
    <x v="6"/>
    <x v="4"/>
    <d v="1899-12-30T14:00:00"/>
    <d v="1899-12-30T15:15:00"/>
    <d v="1899-12-30T01:15:00"/>
    <s v="DUBOURG Joel"/>
    <s v="Visite d'entretien"/>
    <m/>
  </r>
  <r>
    <x v="6"/>
    <x v="5"/>
    <d v="1899-12-30T10:30:00"/>
    <d v="1899-12-30T13:30:00"/>
    <d v="1899-12-30T03:00:00"/>
    <s v="DUBOURG Joel"/>
    <s v="Visite d'entretien + Contrôle des câbles + parachute"/>
    <m/>
  </r>
  <r>
    <x v="6"/>
    <x v="12"/>
    <d v="1899-12-30T11:00:00"/>
    <d v="1899-12-30T11:30:00"/>
    <d v="1899-12-30T00:30:00"/>
    <s v="DUBOURG Joel"/>
    <s v="Visite d'entretien"/>
    <m/>
  </r>
  <r>
    <x v="6"/>
    <x v="7"/>
    <d v="1899-12-30T14:45:00"/>
    <d v="1899-12-30T15:15:00"/>
    <d v="1899-12-30T00:30:00"/>
    <s v="VIRAPATRIN-VIRIN Jimmy"/>
    <s v="Visite d'entretien"/>
    <m/>
  </r>
  <r>
    <x v="7"/>
    <x v="0"/>
    <d v="1899-12-30T10:00:00"/>
    <d v="1899-12-30T10:35:00"/>
    <d v="1899-12-30T00:35:00"/>
    <s v="DUBOURG Joel"/>
    <s v="Visite d'entretien"/>
    <m/>
  </r>
  <r>
    <x v="7"/>
    <x v="1"/>
    <d v="1899-12-30T13:00:00"/>
    <d v="1899-12-30T14:50:00"/>
    <d v="1899-12-30T01:50:00"/>
    <s v="DUBOURG Joel"/>
    <s v="Visite d'entretien + Contrôle des câbles"/>
    <m/>
  </r>
  <r>
    <x v="7"/>
    <x v="10"/>
    <d v="1899-12-30T13:45:00"/>
    <d v="1899-12-30T15:00:00"/>
    <d v="1899-12-30T01:15:00"/>
    <s v="DUBOURG Joel"/>
    <s v="Visite d'entretien"/>
    <m/>
  </r>
  <r>
    <x v="7"/>
    <x v="11"/>
    <d v="1899-12-30T14:30:00"/>
    <d v="1899-12-30T16:00:00"/>
    <d v="1899-12-30T01:30:00"/>
    <s v="DUBOURG Joel"/>
    <s v="Visite d'entretien"/>
    <m/>
  </r>
  <r>
    <x v="7"/>
    <x v="4"/>
    <d v="1899-12-30T07:30:00"/>
    <d v="1899-12-30T08:05:00"/>
    <d v="1899-12-30T00:35:00"/>
    <s v="DUBOURG Joel"/>
    <s v="Visite d'entretien"/>
    <m/>
  </r>
  <r>
    <x v="7"/>
    <x v="5"/>
    <d v="1899-12-30T11:00:00"/>
    <d v="1899-12-30T14:00:00"/>
    <d v="1899-12-30T03:00:00"/>
    <s v="DUBOURG Joel"/>
    <s v="Visite d'entretien + Contrôle des câbles + parachute"/>
    <m/>
  </r>
  <r>
    <x v="7"/>
    <x v="6"/>
    <d v="1899-12-30T08:00:00"/>
    <d v="1899-12-30T09:00:00"/>
    <d v="1899-12-30T01:00:00"/>
    <s v="DUBOURG Joel"/>
    <s v="Visite d'entretien"/>
    <m/>
  </r>
  <r>
    <x v="7"/>
    <x v="13"/>
    <d v="1899-12-30T09:00:00"/>
    <d v="1899-12-30T09:45:00"/>
    <d v="1899-12-30T00:45:00"/>
    <s v="VIRAPATRIN-VIRIN Jimmy"/>
    <s v="Visite d'entretien"/>
    <m/>
  </r>
  <r>
    <x v="8"/>
    <x v="0"/>
    <d v="1899-12-30T10:45:00"/>
    <d v="1899-12-30T11:45:00"/>
    <d v="1899-12-30T01:00:00"/>
    <s v="DUBOURG Joel"/>
    <s v="Visite d'entretien"/>
    <m/>
  </r>
  <r>
    <x v="8"/>
    <x v="1"/>
    <d v="1899-12-30T15:45:00"/>
    <d v="1899-12-30T16:30:00"/>
    <d v="1899-12-30T00:45:00"/>
    <s v="DUBOURG Joel"/>
    <s v="Visite d'entretien + Contrôle des câbles"/>
    <m/>
  </r>
  <r>
    <x v="8"/>
    <x v="10"/>
    <d v="1899-12-30T14:30:00"/>
    <d v="1899-12-30T15:25:00"/>
    <d v="1899-12-30T00:55:00"/>
    <s v="DUBOURG Joel"/>
    <s v="Visite d'entretien"/>
    <m/>
  </r>
  <r>
    <x v="8"/>
    <x v="11"/>
    <d v="1899-12-30T15:25:00"/>
    <d v="1899-12-30T16:15:00"/>
    <d v="1899-12-30T00:50:00"/>
    <s v="DUBOURG Joel"/>
    <s v="Visite d'entretien"/>
    <m/>
  </r>
  <r>
    <x v="8"/>
    <x v="4"/>
    <d v="1899-12-30T14:30:00"/>
    <d v="1899-12-30T15:15:00"/>
    <d v="1899-12-30T00:45:00"/>
    <s v="DUBOURG Joel"/>
    <s v="Visite d'entretien"/>
    <m/>
  </r>
  <r>
    <x v="8"/>
    <x v="5"/>
    <d v="1899-12-30T10:30:00"/>
    <d v="1899-12-30T11:30:00"/>
    <d v="1899-12-30T01:00:00"/>
    <s v="DUBOURG Joel"/>
    <s v="Visite d'entretien + Contrôle des câbles + parachute"/>
    <m/>
  </r>
  <r>
    <x v="8"/>
    <x v="6"/>
    <d v="1899-12-30T09:00:00"/>
    <d v="1899-12-30T10:00:00"/>
    <d v="1899-12-30T01:00:00"/>
    <s v="DUBOURG Joel"/>
    <s v="Visite d'entretien"/>
    <m/>
  </r>
  <r>
    <x v="9"/>
    <x v="0"/>
    <d v="1899-12-30T11:30:00"/>
    <d v="1899-12-30T12:15:00"/>
    <d v="1899-12-30T00:45:00"/>
    <s v="DUBOURG Joel"/>
    <s v="Visite d'entretien"/>
    <m/>
  </r>
  <r>
    <x v="9"/>
    <x v="1"/>
    <d v="1899-12-30T16:30:00"/>
    <d v="1899-12-30T17:25:00"/>
    <d v="1899-12-30T00:55:00"/>
    <s v="DUBOURG Joel"/>
    <s v="Visite d'entretien + Contrôle des câbles"/>
    <m/>
  </r>
  <r>
    <x v="9"/>
    <x v="10"/>
    <d v="1899-12-30T15:15:00"/>
    <d v="1899-12-30T16:00:00"/>
    <d v="1899-12-30T00:45:00"/>
    <s v="DUBOURG Joel"/>
    <s v="Visite d'entretien"/>
    <m/>
  </r>
  <r>
    <x v="9"/>
    <x v="11"/>
    <d v="1899-12-30T16:15:00"/>
    <d v="1899-12-30T17:00:00"/>
    <d v="1899-12-30T00:45:00"/>
    <s v="DUBOURG Joel"/>
    <s v="Visite d'entretien"/>
    <m/>
  </r>
  <r>
    <x v="9"/>
    <x v="4"/>
    <d v="1899-12-30T08:00:00"/>
    <d v="1899-12-30T09:00:00"/>
    <d v="1899-12-30T01:00:00"/>
    <s v="DUBOURG Joel"/>
    <s v="Visite d'entretien"/>
    <m/>
  </r>
  <r>
    <x v="9"/>
    <x v="5"/>
    <d v="1899-12-30T13:00:00"/>
    <d v="1899-12-30T15:00:00"/>
    <d v="1899-12-30T02:00:00"/>
    <s v="DUBOURG Joel"/>
    <s v="Visite d'entretien + Contrôle des câbles + parachute"/>
    <m/>
  </r>
  <r>
    <x v="9"/>
    <x v="6"/>
    <d v="1899-12-30T09:45:00"/>
    <d v="1899-12-30T10:30:00"/>
    <d v="1899-12-30T00:45:00"/>
    <s v="DUBOURG Joel"/>
    <s v="Visite d'entretien"/>
    <m/>
  </r>
  <r>
    <x v="1"/>
    <x v="12"/>
    <d v="1899-12-30T09:00:00"/>
    <d v="1899-12-30T09:30:00"/>
    <d v="1899-12-30T00:30:00"/>
    <s v="DUBOURG Joel"/>
    <s v="Visite d'entretien"/>
    <m/>
  </r>
  <r>
    <x v="1"/>
    <x v="7"/>
    <d v="1899-12-30T16:00:00"/>
    <d v="1899-12-30T16:10:00"/>
    <d v="1899-12-30T00:10:00"/>
    <s v="VIRAPATRIN-VIRIN  Jimmy"/>
    <s v="Visite d'entretien"/>
    <m/>
  </r>
  <r>
    <x v="5"/>
    <x v="7"/>
    <d v="1899-12-30T15:10:00"/>
    <d v="1899-12-30T15:30:00"/>
    <d v="1899-12-30T00:20:00"/>
    <s v="VIRAPATRIN-VIRIN  Jimmy"/>
    <s v="Visite d'entretien"/>
    <m/>
  </r>
  <r>
    <x v="8"/>
    <x v="7"/>
    <d v="1899-12-30T13:50:00"/>
    <d v="1899-12-30T14:10:00"/>
    <d v="1899-12-30T00:20:00"/>
    <s v="VIRAPATRIN-VIRIN  Jimmy"/>
    <s v="Visite d'entretien"/>
    <m/>
  </r>
  <r>
    <x v="9"/>
    <x v="13"/>
    <d v="1899-12-30T09:20:00"/>
    <d v="1899-12-30T09:40:00"/>
    <d v="1899-12-30T00:20:00"/>
    <s v="VIRAPATRIN-VIRIN  Jimmy"/>
    <s v="Visite d'entretie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FE378-7890-4A8B-9B81-695B4476B57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4" firstHeaderRow="1" firstDataRow="1" firstDataCol="1"/>
  <pivotFields count="10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numFmtId="14" showAll="0">
      <items count="15">
        <item x="0"/>
        <item x="8"/>
        <item x="9"/>
        <item x="1"/>
        <item x="10"/>
        <item x="2"/>
        <item x="11"/>
        <item x="3"/>
        <item x="4"/>
        <item x="5"/>
        <item x="12"/>
        <item x="6"/>
        <item x="7"/>
        <item x="13"/>
        <item t="default"/>
      </items>
    </pivotField>
    <pivotField numFmtId="20" showAll="0"/>
    <pivotField dataField="1" numFmtId="20" showAll="0"/>
    <pivotField numFmtId="20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0"/>
    <field x="9"/>
    <field x="8"/>
    <field x="1"/>
  </rowFields>
  <rowItems count="91">
    <i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1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2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3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4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5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6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7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8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>
      <x v="9"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1"/>
    </i>
    <i t="grand">
      <x/>
    </i>
  </rowItems>
  <colItems count="1">
    <i/>
  </colItems>
  <dataFields count="1">
    <dataField name="Nombre de Date F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80B6-47C9-411F-89C3-50C5EC63AD8E}">
  <dimension ref="A3:B94"/>
  <sheetViews>
    <sheetView topLeftCell="A67" workbookViewId="0">
      <selection activeCell="A20" sqref="A20"/>
    </sheetView>
  </sheetViews>
  <sheetFormatPr baseColWidth="10" defaultRowHeight="15" x14ac:dyDescent="0.25"/>
  <cols>
    <col min="1" max="1" width="21" bestFit="1" customWidth="1"/>
    <col min="2" max="2" width="18.85546875" bestFit="1" customWidth="1"/>
  </cols>
  <sheetData>
    <row r="3" spans="1:2" x14ac:dyDescent="0.25">
      <c r="A3" s="42" t="s">
        <v>33</v>
      </c>
      <c r="B3" t="s">
        <v>43</v>
      </c>
    </row>
    <row r="4" spans="1:2" x14ac:dyDescent="0.25">
      <c r="A4" s="43" t="s">
        <v>9</v>
      </c>
      <c r="B4">
        <v>8</v>
      </c>
    </row>
    <row r="5" spans="1:2" x14ac:dyDescent="0.25">
      <c r="A5" s="44" t="s">
        <v>35</v>
      </c>
      <c r="B5">
        <v>1</v>
      </c>
    </row>
    <row r="6" spans="1:2" x14ac:dyDescent="0.25">
      <c r="A6" s="44" t="s">
        <v>36</v>
      </c>
      <c r="B6">
        <v>1</v>
      </c>
    </row>
    <row r="7" spans="1:2" x14ac:dyDescent="0.25">
      <c r="A7" s="44" t="s">
        <v>37</v>
      </c>
      <c r="B7">
        <v>1</v>
      </c>
    </row>
    <row r="8" spans="1:2" x14ac:dyDescent="0.25">
      <c r="A8" s="44" t="s">
        <v>38</v>
      </c>
      <c r="B8">
        <v>1</v>
      </c>
    </row>
    <row r="9" spans="1:2" x14ac:dyDescent="0.25">
      <c r="A9" s="44" t="s">
        <v>39</v>
      </c>
      <c r="B9">
        <v>1</v>
      </c>
    </row>
    <row r="10" spans="1:2" x14ac:dyDescent="0.25">
      <c r="A10" s="44" t="s">
        <v>40</v>
      </c>
      <c r="B10">
        <v>1</v>
      </c>
    </row>
    <row r="11" spans="1:2" x14ac:dyDescent="0.25">
      <c r="A11" s="44" t="s">
        <v>41</v>
      </c>
      <c r="B11">
        <v>1</v>
      </c>
    </row>
    <row r="12" spans="1:2" x14ac:dyDescent="0.25">
      <c r="A12" s="44" t="s">
        <v>42</v>
      </c>
      <c r="B12">
        <v>1</v>
      </c>
    </row>
    <row r="13" spans="1:2" x14ac:dyDescent="0.25">
      <c r="A13" s="43" t="s">
        <v>11</v>
      </c>
      <c r="B13">
        <v>8</v>
      </c>
    </row>
    <row r="14" spans="1:2" x14ac:dyDescent="0.25">
      <c r="A14" s="44" t="s">
        <v>35</v>
      </c>
      <c r="B14">
        <v>1</v>
      </c>
    </row>
    <row r="15" spans="1:2" x14ac:dyDescent="0.25">
      <c r="A15" s="44" t="s">
        <v>36</v>
      </c>
      <c r="B15">
        <v>1</v>
      </c>
    </row>
    <row r="16" spans="1:2" x14ac:dyDescent="0.25">
      <c r="A16" s="44" t="s">
        <v>37</v>
      </c>
      <c r="B16">
        <v>1</v>
      </c>
    </row>
    <row r="17" spans="1:2" x14ac:dyDescent="0.25">
      <c r="A17" s="44" t="s">
        <v>38</v>
      </c>
      <c r="B17">
        <v>1</v>
      </c>
    </row>
    <row r="18" spans="1:2" x14ac:dyDescent="0.25">
      <c r="A18" s="44" t="s">
        <v>39</v>
      </c>
      <c r="B18">
        <v>1</v>
      </c>
    </row>
    <row r="19" spans="1:2" x14ac:dyDescent="0.25">
      <c r="A19" s="44" t="s">
        <v>40</v>
      </c>
      <c r="B19">
        <v>1</v>
      </c>
    </row>
    <row r="20" spans="1:2" x14ac:dyDescent="0.25">
      <c r="A20" s="44" t="s">
        <v>41</v>
      </c>
      <c r="B20">
        <v>1</v>
      </c>
    </row>
    <row r="21" spans="1:2" x14ac:dyDescent="0.25">
      <c r="A21" s="44" t="s">
        <v>42</v>
      </c>
      <c r="B21">
        <v>1</v>
      </c>
    </row>
    <row r="22" spans="1:2" x14ac:dyDescent="0.25">
      <c r="A22" s="43" t="s">
        <v>12</v>
      </c>
      <c r="B22">
        <v>8</v>
      </c>
    </row>
    <row r="23" spans="1:2" x14ac:dyDescent="0.25">
      <c r="A23" s="44" t="s">
        <v>35</v>
      </c>
      <c r="B23">
        <v>1</v>
      </c>
    </row>
    <row r="24" spans="1:2" x14ac:dyDescent="0.25">
      <c r="A24" s="44" t="s">
        <v>36</v>
      </c>
      <c r="B24">
        <v>1</v>
      </c>
    </row>
    <row r="25" spans="1:2" x14ac:dyDescent="0.25">
      <c r="A25" s="44" t="s">
        <v>37</v>
      </c>
      <c r="B25">
        <v>1</v>
      </c>
    </row>
    <row r="26" spans="1:2" x14ac:dyDescent="0.25">
      <c r="A26" s="44" t="s">
        <v>38</v>
      </c>
      <c r="B26">
        <v>1</v>
      </c>
    </row>
    <row r="27" spans="1:2" x14ac:dyDescent="0.25">
      <c r="A27" s="44" t="s">
        <v>39</v>
      </c>
      <c r="B27">
        <v>1</v>
      </c>
    </row>
    <row r="28" spans="1:2" x14ac:dyDescent="0.25">
      <c r="A28" s="44" t="s">
        <v>40</v>
      </c>
      <c r="B28">
        <v>1</v>
      </c>
    </row>
    <row r="29" spans="1:2" x14ac:dyDescent="0.25">
      <c r="A29" s="44" t="s">
        <v>41</v>
      </c>
      <c r="B29">
        <v>1</v>
      </c>
    </row>
    <row r="30" spans="1:2" x14ac:dyDescent="0.25">
      <c r="A30" s="44" t="s">
        <v>42</v>
      </c>
      <c r="B30">
        <v>1</v>
      </c>
    </row>
    <row r="31" spans="1:2" x14ac:dyDescent="0.25">
      <c r="A31" s="43" t="s">
        <v>13</v>
      </c>
      <c r="B31">
        <v>8</v>
      </c>
    </row>
    <row r="32" spans="1:2" x14ac:dyDescent="0.25">
      <c r="A32" s="44" t="s">
        <v>35</v>
      </c>
      <c r="B32">
        <v>1</v>
      </c>
    </row>
    <row r="33" spans="1:2" x14ac:dyDescent="0.25">
      <c r="A33" s="44" t="s">
        <v>36</v>
      </c>
      <c r="B33">
        <v>1</v>
      </c>
    </row>
    <row r="34" spans="1:2" x14ac:dyDescent="0.25">
      <c r="A34" s="44" t="s">
        <v>37</v>
      </c>
      <c r="B34">
        <v>1</v>
      </c>
    </row>
    <row r="35" spans="1:2" x14ac:dyDescent="0.25">
      <c r="A35" s="44" t="s">
        <v>38</v>
      </c>
      <c r="B35">
        <v>1</v>
      </c>
    </row>
    <row r="36" spans="1:2" x14ac:dyDescent="0.25">
      <c r="A36" s="44" t="s">
        <v>39</v>
      </c>
      <c r="B36">
        <v>1</v>
      </c>
    </row>
    <row r="37" spans="1:2" x14ac:dyDescent="0.25">
      <c r="A37" s="44" t="s">
        <v>40</v>
      </c>
      <c r="B37">
        <v>1</v>
      </c>
    </row>
    <row r="38" spans="1:2" x14ac:dyDescent="0.25">
      <c r="A38" s="44" t="s">
        <v>41</v>
      </c>
      <c r="B38">
        <v>1</v>
      </c>
    </row>
    <row r="39" spans="1:2" x14ac:dyDescent="0.25">
      <c r="A39" s="44" t="s">
        <v>42</v>
      </c>
      <c r="B39">
        <v>1</v>
      </c>
    </row>
    <row r="40" spans="1:2" x14ac:dyDescent="0.25">
      <c r="A40" s="43" t="s">
        <v>14</v>
      </c>
      <c r="B40">
        <v>8</v>
      </c>
    </row>
    <row r="41" spans="1:2" x14ac:dyDescent="0.25">
      <c r="A41" s="44" t="s">
        <v>35</v>
      </c>
      <c r="B41">
        <v>1</v>
      </c>
    </row>
    <row r="42" spans="1:2" x14ac:dyDescent="0.25">
      <c r="A42" s="44" t="s">
        <v>36</v>
      </c>
      <c r="B42">
        <v>1</v>
      </c>
    </row>
    <row r="43" spans="1:2" x14ac:dyDescent="0.25">
      <c r="A43" s="44" t="s">
        <v>37</v>
      </c>
      <c r="B43">
        <v>1</v>
      </c>
    </row>
    <row r="44" spans="1:2" x14ac:dyDescent="0.25">
      <c r="A44" s="44" t="s">
        <v>38</v>
      </c>
      <c r="B44">
        <v>1</v>
      </c>
    </row>
    <row r="45" spans="1:2" x14ac:dyDescent="0.25">
      <c r="A45" s="44" t="s">
        <v>39</v>
      </c>
      <c r="B45">
        <v>1</v>
      </c>
    </row>
    <row r="46" spans="1:2" x14ac:dyDescent="0.25">
      <c r="A46" s="44" t="s">
        <v>40</v>
      </c>
      <c r="B46">
        <v>1</v>
      </c>
    </row>
    <row r="47" spans="1:2" x14ac:dyDescent="0.25">
      <c r="A47" s="44" t="s">
        <v>41</v>
      </c>
      <c r="B47">
        <v>1</v>
      </c>
    </row>
    <row r="48" spans="1:2" x14ac:dyDescent="0.25">
      <c r="A48" s="44" t="s">
        <v>42</v>
      </c>
      <c r="B48">
        <v>1</v>
      </c>
    </row>
    <row r="49" spans="1:2" x14ac:dyDescent="0.25">
      <c r="A49" s="43" t="s">
        <v>15</v>
      </c>
      <c r="B49">
        <v>8</v>
      </c>
    </row>
    <row r="50" spans="1:2" x14ac:dyDescent="0.25">
      <c r="A50" s="44" t="s">
        <v>35</v>
      </c>
      <c r="B50">
        <v>1</v>
      </c>
    </row>
    <row r="51" spans="1:2" x14ac:dyDescent="0.25">
      <c r="A51" s="44" t="s">
        <v>36</v>
      </c>
      <c r="B51">
        <v>1</v>
      </c>
    </row>
    <row r="52" spans="1:2" x14ac:dyDescent="0.25">
      <c r="A52" s="44" t="s">
        <v>37</v>
      </c>
      <c r="B52">
        <v>1</v>
      </c>
    </row>
    <row r="53" spans="1:2" x14ac:dyDescent="0.25">
      <c r="A53" s="44" t="s">
        <v>38</v>
      </c>
      <c r="B53">
        <v>1</v>
      </c>
    </row>
    <row r="54" spans="1:2" x14ac:dyDescent="0.25">
      <c r="A54" s="44" t="s">
        <v>39</v>
      </c>
      <c r="B54">
        <v>1</v>
      </c>
    </row>
    <row r="55" spans="1:2" x14ac:dyDescent="0.25">
      <c r="A55" s="44" t="s">
        <v>40</v>
      </c>
      <c r="B55">
        <v>1</v>
      </c>
    </row>
    <row r="56" spans="1:2" x14ac:dyDescent="0.25">
      <c r="A56" s="44" t="s">
        <v>41</v>
      </c>
      <c r="B56">
        <v>1</v>
      </c>
    </row>
    <row r="57" spans="1:2" x14ac:dyDescent="0.25">
      <c r="A57" s="44" t="s">
        <v>42</v>
      </c>
      <c r="B57">
        <v>1</v>
      </c>
    </row>
    <row r="58" spans="1:2" x14ac:dyDescent="0.25">
      <c r="A58" s="43" t="s">
        <v>16</v>
      </c>
      <c r="B58">
        <v>8</v>
      </c>
    </row>
    <row r="59" spans="1:2" x14ac:dyDescent="0.25">
      <c r="A59" s="44" t="s">
        <v>35</v>
      </c>
      <c r="B59">
        <v>1</v>
      </c>
    </row>
    <row r="60" spans="1:2" x14ac:dyDescent="0.25">
      <c r="A60" s="44" t="s">
        <v>36</v>
      </c>
      <c r="B60">
        <v>1</v>
      </c>
    </row>
    <row r="61" spans="1:2" x14ac:dyDescent="0.25">
      <c r="A61" s="44" t="s">
        <v>37</v>
      </c>
      <c r="B61">
        <v>1</v>
      </c>
    </row>
    <row r="62" spans="1:2" x14ac:dyDescent="0.25">
      <c r="A62" s="44" t="s">
        <v>38</v>
      </c>
      <c r="B62">
        <v>1</v>
      </c>
    </row>
    <row r="63" spans="1:2" x14ac:dyDescent="0.25">
      <c r="A63" s="44" t="s">
        <v>39</v>
      </c>
      <c r="B63">
        <v>1</v>
      </c>
    </row>
    <row r="64" spans="1:2" x14ac:dyDescent="0.25">
      <c r="A64" s="44" t="s">
        <v>40</v>
      </c>
      <c r="B64">
        <v>1</v>
      </c>
    </row>
    <row r="65" spans="1:2" x14ac:dyDescent="0.25">
      <c r="A65" s="44" t="s">
        <v>41</v>
      </c>
      <c r="B65">
        <v>1</v>
      </c>
    </row>
    <row r="66" spans="1:2" x14ac:dyDescent="0.25">
      <c r="A66" s="44" t="s">
        <v>42</v>
      </c>
      <c r="B66">
        <v>1</v>
      </c>
    </row>
    <row r="67" spans="1:2" x14ac:dyDescent="0.25">
      <c r="A67" s="43" t="s">
        <v>17</v>
      </c>
      <c r="B67">
        <v>8</v>
      </c>
    </row>
    <row r="68" spans="1:2" x14ac:dyDescent="0.25">
      <c r="A68" s="44" t="s">
        <v>35</v>
      </c>
      <c r="B68">
        <v>1</v>
      </c>
    </row>
    <row r="69" spans="1:2" x14ac:dyDescent="0.25">
      <c r="A69" s="44" t="s">
        <v>36</v>
      </c>
      <c r="B69">
        <v>1</v>
      </c>
    </row>
    <row r="70" spans="1:2" x14ac:dyDescent="0.25">
      <c r="A70" s="44" t="s">
        <v>37</v>
      </c>
      <c r="B70">
        <v>1</v>
      </c>
    </row>
    <row r="71" spans="1:2" x14ac:dyDescent="0.25">
      <c r="A71" s="44" t="s">
        <v>38</v>
      </c>
      <c r="B71">
        <v>1</v>
      </c>
    </row>
    <row r="72" spans="1:2" x14ac:dyDescent="0.25">
      <c r="A72" s="44" t="s">
        <v>39</v>
      </c>
      <c r="B72">
        <v>1</v>
      </c>
    </row>
    <row r="73" spans="1:2" x14ac:dyDescent="0.25">
      <c r="A73" s="44" t="s">
        <v>40</v>
      </c>
      <c r="B73">
        <v>1</v>
      </c>
    </row>
    <row r="74" spans="1:2" x14ac:dyDescent="0.25">
      <c r="A74" s="44" t="s">
        <v>41</v>
      </c>
      <c r="B74">
        <v>1</v>
      </c>
    </row>
    <row r="75" spans="1:2" x14ac:dyDescent="0.25">
      <c r="A75" s="44" t="s">
        <v>42</v>
      </c>
      <c r="B75">
        <v>1</v>
      </c>
    </row>
    <row r="76" spans="1:2" x14ac:dyDescent="0.25">
      <c r="A76" s="43" t="s">
        <v>18</v>
      </c>
      <c r="B76">
        <v>8</v>
      </c>
    </row>
    <row r="77" spans="1:2" x14ac:dyDescent="0.25">
      <c r="A77" s="44" t="s">
        <v>35</v>
      </c>
      <c r="B77">
        <v>1</v>
      </c>
    </row>
    <row r="78" spans="1:2" x14ac:dyDescent="0.25">
      <c r="A78" s="44" t="s">
        <v>36</v>
      </c>
      <c r="B78">
        <v>1</v>
      </c>
    </row>
    <row r="79" spans="1:2" x14ac:dyDescent="0.25">
      <c r="A79" s="44" t="s">
        <v>37</v>
      </c>
      <c r="B79">
        <v>1</v>
      </c>
    </row>
    <row r="80" spans="1:2" x14ac:dyDescent="0.25">
      <c r="A80" s="44" t="s">
        <v>38</v>
      </c>
      <c r="B80">
        <v>1</v>
      </c>
    </row>
    <row r="81" spans="1:2" x14ac:dyDescent="0.25">
      <c r="A81" s="44" t="s">
        <v>39</v>
      </c>
      <c r="B81">
        <v>1</v>
      </c>
    </row>
    <row r="82" spans="1:2" x14ac:dyDescent="0.25">
      <c r="A82" s="44" t="s">
        <v>40</v>
      </c>
      <c r="B82">
        <v>1</v>
      </c>
    </row>
    <row r="83" spans="1:2" x14ac:dyDescent="0.25">
      <c r="A83" s="44" t="s">
        <v>41</v>
      </c>
      <c r="B83">
        <v>1</v>
      </c>
    </row>
    <row r="84" spans="1:2" x14ac:dyDescent="0.25">
      <c r="A84" s="44" t="s">
        <v>42</v>
      </c>
      <c r="B84">
        <v>1</v>
      </c>
    </row>
    <row r="85" spans="1:2" x14ac:dyDescent="0.25">
      <c r="A85" s="43" t="s">
        <v>19</v>
      </c>
      <c r="B85">
        <v>8</v>
      </c>
    </row>
    <row r="86" spans="1:2" x14ac:dyDescent="0.25">
      <c r="A86" s="44" t="s">
        <v>35</v>
      </c>
      <c r="B86">
        <v>1</v>
      </c>
    </row>
    <row r="87" spans="1:2" x14ac:dyDescent="0.25">
      <c r="A87" s="44" t="s">
        <v>36</v>
      </c>
      <c r="B87">
        <v>1</v>
      </c>
    </row>
    <row r="88" spans="1:2" x14ac:dyDescent="0.25">
      <c r="A88" s="44" t="s">
        <v>37</v>
      </c>
      <c r="B88">
        <v>1</v>
      </c>
    </row>
    <row r="89" spans="1:2" x14ac:dyDescent="0.25">
      <c r="A89" s="44" t="s">
        <v>38</v>
      </c>
      <c r="B89">
        <v>1</v>
      </c>
    </row>
    <row r="90" spans="1:2" x14ac:dyDescent="0.25">
      <c r="A90" s="44" t="s">
        <v>39</v>
      </c>
      <c r="B90">
        <v>1</v>
      </c>
    </row>
    <row r="91" spans="1:2" x14ac:dyDescent="0.25">
      <c r="A91" s="44" t="s">
        <v>40</v>
      </c>
      <c r="B91">
        <v>1</v>
      </c>
    </row>
    <row r="92" spans="1:2" x14ac:dyDescent="0.25">
      <c r="A92" s="44" t="s">
        <v>41</v>
      </c>
      <c r="B92">
        <v>1</v>
      </c>
    </row>
    <row r="93" spans="1:2" x14ac:dyDescent="0.25">
      <c r="A93" s="44" t="s">
        <v>42</v>
      </c>
      <c r="B93">
        <v>1</v>
      </c>
    </row>
    <row r="94" spans="1:2" x14ac:dyDescent="0.25">
      <c r="A94" s="43" t="s">
        <v>34</v>
      </c>
      <c r="B9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601D-D4ED-4B17-879B-B7456D85BC6A}">
  <sheetPr>
    <pageSetUpPr fitToPage="1"/>
  </sheetPr>
  <dimension ref="A1:H32"/>
  <sheetViews>
    <sheetView topLeftCell="A12" zoomScale="115" zoomScaleNormal="115" workbookViewId="0">
      <selection activeCell="A31" sqref="A31:A32"/>
    </sheetView>
  </sheetViews>
  <sheetFormatPr baseColWidth="10" defaultRowHeight="15" x14ac:dyDescent="0.25"/>
  <cols>
    <col min="1" max="1" width="15.140625" customWidth="1"/>
    <col min="2" max="2" width="15" customWidth="1"/>
    <col min="5" max="5" width="15.28515625" customWidth="1"/>
    <col min="6" max="6" width="27" customWidth="1"/>
    <col min="7" max="7" width="47.42578125" bestFit="1" customWidth="1"/>
    <col min="9" max="9" width="9.5703125" bestFit="1" customWidth="1"/>
  </cols>
  <sheetData>
    <row r="1" spans="1:8" ht="15.75" thickBot="1" x14ac:dyDescent="0.3">
      <c r="A1" s="1"/>
      <c r="B1" s="58" t="s">
        <v>0</v>
      </c>
      <c r="C1" s="59"/>
      <c r="D1" s="59"/>
      <c r="E1" s="59"/>
      <c r="F1" s="59"/>
      <c r="G1" s="59"/>
      <c r="H1" s="59"/>
    </row>
    <row r="2" spans="1:8" ht="25.5" x14ac:dyDescent="0.25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6" t="s">
        <v>8</v>
      </c>
    </row>
    <row r="3" spans="1:8" x14ac:dyDescent="0.25">
      <c r="A3" s="28" t="s">
        <v>9</v>
      </c>
      <c r="B3" s="15">
        <v>46035</v>
      </c>
      <c r="C3" s="27">
        <v>0.39583333333333331</v>
      </c>
      <c r="D3" s="27">
        <v>0.4375</v>
      </c>
      <c r="E3" s="25">
        <v>4.1666666666666664E-2</v>
      </c>
      <c r="F3" s="26" t="s">
        <v>46</v>
      </c>
      <c r="G3" s="32" t="s">
        <v>47</v>
      </c>
      <c r="H3" s="7"/>
    </row>
    <row r="4" spans="1:8" x14ac:dyDescent="0.25">
      <c r="A4" s="28" t="s">
        <v>9</v>
      </c>
      <c r="B4" s="15">
        <v>46072</v>
      </c>
      <c r="C4" s="27">
        <v>0.33333333333333331</v>
      </c>
      <c r="D4" s="27">
        <v>0.375</v>
      </c>
      <c r="E4" s="25">
        <v>4.1666666666666664E-2</v>
      </c>
      <c r="F4" s="26" t="s">
        <v>46</v>
      </c>
      <c r="G4" s="32" t="s">
        <v>47</v>
      </c>
      <c r="H4" s="7"/>
    </row>
    <row r="5" spans="1:8" x14ac:dyDescent="0.25">
      <c r="A5" s="28" t="s">
        <v>9</v>
      </c>
      <c r="B5" s="15">
        <v>46113</v>
      </c>
      <c r="C5" s="27">
        <v>0.375</v>
      </c>
      <c r="D5" s="27">
        <v>0.41666666666666669</v>
      </c>
      <c r="E5" s="25">
        <v>4.1666666666666664E-2</v>
      </c>
      <c r="F5" s="26" t="s">
        <v>46</v>
      </c>
      <c r="G5" s="32" t="s">
        <v>47</v>
      </c>
      <c r="H5" s="7"/>
    </row>
    <row r="6" spans="1:8" x14ac:dyDescent="0.25">
      <c r="A6" s="28" t="s">
        <v>11</v>
      </c>
      <c r="B6" s="15">
        <v>46035</v>
      </c>
      <c r="C6" s="27">
        <v>0.4375</v>
      </c>
      <c r="D6" s="27">
        <v>0.47916666666666669</v>
      </c>
      <c r="E6" s="25">
        <v>4.1666666666666664E-2</v>
      </c>
      <c r="F6" s="26" t="s">
        <v>46</v>
      </c>
      <c r="G6" s="32" t="s">
        <v>47</v>
      </c>
      <c r="H6" s="7"/>
    </row>
    <row r="7" spans="1:8" x14ac:dyDescent="0.25">
      <c r="A7" s="28" t="s">
        <v>11</v>
      </c>
      <c r="B7" s="15">
        <v>46072</v>
      </c>
      <c r="C7" s="27">
        <v>0.30208333333333331</v>
      </c>
      <c r="D7" s="27">
        <v>0.33333333333333331</v>
      </c>
      <c r="E7" s="25">
        <v>3.125E-2</v>
      </c>
      <c r="F7" s="26" t="s">
        <v>46</v>
      </c>
      <c r="G7" s="32" t="s">
        <v>47</v>
      </c>
      <c r="H7" s="7"/>
    </row>
    <row r="8" spans="1:8" x14ac:dyDescent="0.25">
      <c r="A8" s="28" t="s">
        <v>11</v>
      </c>
      <c r="B8" s="15">
        <v>46113</v>
      </c>
      <c r="C8" s="27">
        <v>0.375</v>
      </c>
      <c r="D8" s="27">
        <v>0.41666666666666669</v>
      </c>
      <c r="E8" s="25">
        <v>4.1666666666666664E-2</v>
      </c>
      <c r="F8" s="26" t="s">
        <v>46</v>
      </c>
      <c r="G8" s="32" t="s">
        <v>47</v>
      </c>
      <c r="H8" s="7"/>
    </row>
    <row r="9" spans="1:8" x14ac:dyDescent="0.25">
      <c r="A9" s="28" t="s">
        <v>12</v>
      </c>
      <c r="B9" s="15">
        <v>46036</v>
      </c>
      <c r="C9" s="27">
        <v>0.39583333333333331</v>
      </c>
      <c r="D9" s="27">
        <v>0.4375</v>
      </c>
      <c r="E9" s="25">
        <v>4.1666666666666664E-2</v>
      </c>
      <c r="F9" s="26" t="s">
        <v>46</v>
      </c>
      <c r="G9" s="32" t="s">
        <v>47</v>
      </c>
      <c r="H9" s="7"/>
    </row>
    <row r="10" spans="1:8" x14ac:dyDescent="0.25">
      <c r="A10" s="28" t="s">
        <v>12</v>
      </c>
      <c r="B10" s="15">
        <v>46071</v>
      </c>
      <c r="C10" s="27">
        <v>0.33333333333333331</v>
      </c>
      <c r="D10" s="27">
        <v>0.375</v>
      </c>
      <c r="E10" s="25">
        <v>4.1666666666666664E-2</v>
      </c>
      <c r="F10" s="26" t="s">
        <v>46</v>
      </c>
      <c r="G10" s="32" t="s">
        <v>47</v>
      </c>
      <c r="H10" s="7"/>
    </row>
    <row r="11" spans="1:8" x14ac:dyDescent="0.25">
      <c r="A11" s="28" t="s">
        <v>12</v>
      </c>
      <c r="B11" s="15">
        <v>46112</v>
      </c>
      <c r="C11" s="27">
        <v>0.29166666666666669</v>
      </c>
      <c r="D11" s="27">
        <v>0.33333333333333331</v>
      </c>
      <c r="E11" s="25">
        <v>4.1666666666666664E-2</v>
      </c>
      <c r="F11" s="26" t="s">
        <v>10</v>
      </c>
      <c r="G11" s="32" t="s">
        <v>47</v>
      </c>
      <c r="H11" s="7"/>
    </row>
    <row r="12" spans="1:8" x14ac:dyDescent="0.25">
      <c r="A12" s="28" t="s">
        <v>13</v>
      </c>
      <c r="B12" s="15">
        <v>46036</v>
      </c>
      <c r="C12" s="27">
        <v>0.3125</v>
      </c>
      <c r="D12" s="27">
        <v>0.35416666666666669</v>
      </c>
      <c r="E12" s="25">
        <v>4.1666666666666664E-2</v>
      </c>
      <c r="F12" s="26" t="s">
        <v>46</v>
      </c>
      <c r="G12" s="32" t="s">
        <v>47</v>
      </c>
      <c r="H12" s="7"/>
    </row>
    <row r="13" spans="1:8" x14ac:dyDescent="0.25">
      <c r="A13" s="28" t="s">
        <v>13</v>
      </c>
      <c r="B13" s="15">
        <v>46071</v>
      </c>
      <c r="C13" s="27">
        <v>0.375</v>
      </c>
      <c r="D13" s="27">
        <v>0.41666666666666669</v>
      </c>
      <c r="E13" s="25">
        <v>4.1666666666666664E-2</v>
      </c>
      <c r="F13" s="26" t="s">
        <v>46</v>
      </c>
      <c r="G13" s="32" t="s">
        <v>47</v>
      </c>
      <c r="H13" s="7"/>
    </row>
    <row r="14" spans="1:8" x14ac:dyDescent="0.25">
      <c r="A14" s="76" t="s">
        <v>13</v>
      </c>
      <c r="B14" s="15">
        <v>46112</v>
      </c>
      <c r="C14" s="27">
        <v>0.375</v>
      </c>
      <c r="D14" s="27">
        <v>0.41666666666666669</v>
      </c>
      <c r="E14" s="25">
        <v>4.1666666666666664E-2</v>
      </c>
      <c r="F14" s="26" t="s">
        <v>46</v>
      </c>
      <c r="G14" s="32" t="s">
        <v>47</v>
      </c>
      <c r="H14" s="7"/>
    </row>
    <row r="15" spans="1:8" x14ac:dyDescent="0.25">
      <c r="A15" s="32" t="s">
        <v>14</v>
      </c>
      <c r="B15" s="15">
        <v>46036</v>
      </c>
      <c r="C15" s="27">
        <v>0.41666666666666669</v>
      </c>
      <c r="D15" s="27">
        <v>0.45833333333333331</v>
      </c>
      <c r="E15" s="25">
        <v>4.1666666666666664E-2</v>
      </c>
      <c r="F15" s="26" t="s">
        <v>46</v>
      </c>
      <c r="G15" s="32" t="s">
        <v>47</v>
      </c>
      <c r="H15" s="7"/>
    </row>
    <row r="16" spans="1:8" x14ac:dyDescent="0.25">
      <c r="A16" s="32" t="s">
        <v>14</v>
      </c>
      <c r="B16" s="15">
        <v>46071</v>
      </c>
      <c r="C16" s="27">
        <v>0.41666666666666669</v>
      </c>
      <c r="D16" s="27">
        <v>0.45833333333333331</v>
      </c>
      <c r="E16" s="25">
        <v>4.1666666666666664E-2</v>
      </c>
      <c r="F16" s="26" t="s">
        <v>46</v>
      </c>
      <c r="G16" s="32" t="s">
        <v>47</v>
      </c>
      <c r="H16" s="7"/>
    </row>
    <row r="17" spans="1:8" x14ac:dyDescent="0.25">
      <c r="A17" s="32" t="s">
        <v>14</v>
      </c>
      <c r="B17" s="29">
        <v>46112</v>
      </c>
      <c r="C17" s="56">
        <v>0.41666666666666669</v>
      </c>
      <c r="D17" s="56">
        <v>0.45833333333333331</v>
      </c>
      <c r="E17" s="30">
        <v>4.1666666666666664E-2</v>
      </c>
      <c r="F17" s="31" t="s">
        <v>46</v>
      </c>
      <c r="G17" s="33" t="s">
        <v>47</v>
      </c>
      <c r="H17" s="24"/>
    </row>
    <row r="18" spans="1:8" x14ac:dyDescent="0.25">
      <c r="A18" s="34" t="s">
        <v>15</v>
      </c>
      <c r="B18" s="15">
        <v>46035</v>
      </c>
      <c r="C18" s="57">
        <v>0.35416666666666669</v>
      </c>
      <c r="D18" s="27">
        <v>0.39583333333333331</v>
      </c>
      <c r="E18" s="25">
        <v>4.1666666666666664E-2</v>
      </c>
      <c r="F18" s="26" t="s">
        <v>46</v>
      </c>
      <c r="G18" s="32" t="s">
        <v>47</v>
      </c>
      <c r="H18" s="7"/>
    </row>
    <row r="19" spans="1:8" x14ac:dyDescent="0.25">
      <c r="A19" s="28" t="s">
        <v>15</v>
      </c>
      <c r="B19" s="15">
        <v>46071</v>
      </c>
      <c r="C19" s="27">
        <v>0.54166666666666663</v>
      </c>
      <c r="D19" s="27">
        <v>0.58333333333333337</v>
      </c>
      <c r="E19" s="25">
        <v>4.1666666666666664E-2</v>
      </c>
      <c r="F19" s="26" t="s">
        <v>46</v>
      </c>
      <c r="G19" s="32" t="s">
        <v>47</v>
      </c>
      <c r="H19" s="7"/>
    </row>
    <row r="20" spans="1:8" x14ac:dyDescent="0.25">
      <c r="A20" s="28" t="s">
        <v>15</v>
      </c>
      <c r="B20" s="15">
        <v>46112</v>
      </c>
      <c r="C20" s="27">
        <v>0.45833333333333331</v>
      </c>
      <c r="D20" s="27">
        <v>0.5</v>
      </c>
      <c r="E20" s="25">
        <v>4.1666666666666664E-2</v>
      </c>
      <c r="F20" s="26" t="s">
        <v>46</v>
      </c>
      <c r="G20" s="32" t="s">
        <v>47</v>
      </c>
      <c r="H20" s="7"/>
    </row>
    <row r="21" spans="1:8" x14ac:dyDescent="0.25">
      <c r="A21" s="28" t="s">
        <v>16</v>
      </c>
      <c r="B21" s="15">
        <v>46035</v>
      </c>
      <c r="C21" s="27">
        <v>0.3125</v>
      </c>
      <c r="D21" s="27">
        <v>0.35416666666666669</v>
      </c>
      <c r="E21" s="25">
        <v>4.1666666666666664E-2</v>
      </c>
      <c r="F21" s="26" t="s">
        <v>48</v>
      </c>
      <c r="G21" s="32" t="s">
        <v>47</v>
      </c>
      <c r="H21" s="7"/>
    </row>
    <row r="22" spans="1:8" x14ac:dyDescent="0.25">
      <c r="A22" s="28" t="s">
        <v>16</v>
      </c>
      <c r="B22" s="15">
        <v>46072</v>
      </c>
      <c r="C22" s="27">
        <v>0.41666666666666669</v>
      </c>
      <c r="D22" s="27">
        <v>0.45833333333333331</v>
      </c>
      <c r="E22" s="25">
        <v>4.1666666666666664E-2</v>
      </c>
      <c r="F22" s="26" t="s">
        <v>46</v>
      </c>
      <c r="G22" s="32" t="s">
        <v>47</v>
      </c>
      <c r="H22" s="7"/>
    </row>
    <row r="23" spans="1:8" x14ac:dyDescent="0.25">
      <c r="A23" s="28" t="s">
        <v>16</v>
      </c>
      <c r="B23" s="15">
        <v>46112</v>
      </c>
      <c r="C23" s="27">
        <v>0.45833333333333331</v>
      </c>
      <c r="D23" s="27">
        <v>0.5</v>
      </c>
      <c r="E23" s="25">
        <v>4.1666666666666664E-2</v>
      </c>
      <c r="F23" s="26" t="s">
        <v>46</v>
      </c>
      <c r="G23" s="32" t="s">
        <v>47</v>
      </c>
      <c r="H23" s="7"/>
    </row>
    <row r="24" spans="1:8" x14ac:dyDescent="0.25">
      <c r="A24" s="28" t="s">
        <v>17</v>
      </c>
      <c r="B24" s="15">
        <v>46035</v>
      </c>
      <c r="C24" s="25">
        <v>0.47916666666666669</v>
      </c>
      <c r="D24" s="25">
        <v>0.51041666666666663</v>
      </c>
      <c r="E24" s="25">
        <v>3.125E-2</v>
      </c>
      <c r="F24" s="26" t="s">
        <v>46</v>
      </c>
      <c r="G24" s="32" t="s">
        <v>47</v>
      </c>
      <c r="H24" s="7"/>
    </row>
    <row r="25" spans="1:8" x14ac:dyDescent="0.25">
      <c r="A25" s="28" t="s">
        <v>17</v>
      </c>
      <c r="B25" s="15">
        <v>46072</v>
      </c>
      <c r="C25" s="25">
        <v>0.375</v>
      </c>
      <c r="D25" s="25">
        <v>0.41666666666666669</v>
      </c>
      <c r="E25" s="25">
        <v>4.1666666666666664E-2</v>
      </c>
      <c r="F25" s="26" t="s">
        <v>46</v>
      </c>
      <c r="G25" s="32" t="s">
        <v>47</v>
      </c>
      <c r="H25" s="7"/>
    </row>
    <row r="26" spans="1:8" x14ac:dyDescent="0.25">
      <c r="A26" s="28" t="s">
        <v>17</v>
      </c>
      <c r="B26" s="15">
        <v>46113</v>
      </c>
      <c r="C26" s="25">
        <v>0.29166666666666669</v>
      </c>
      <c r="D26" s="25">
        <v>0.33333333333333331</v>
      </c>
      <c r="E26" s="25">
        <v>4.1666666666666664E-2</v>
      </c>
      <c r="F26" s="26" t="s">
        <v>46</v>
      </c>
      <c r="G26" s="32" t="s">
        <v>47</v>
      </c>
      <c r="H26" s="7"/>
    </row>
    <row r="27" spans="1:8" x14ac:dyDescent="0.25">
      <c r="A27" s="28" t="s">
        <v>18</v>
      </c>
      <c r="B27" s="15">
        <v>46036</v>
      </c>
      <c r="C27" s="25">
        <v>0.4375</v>
      </c>
      <c r="D27" s="25">
        <v>0.47916666666666669</v>
      </c>
      <c r="E27" s="25">
        <v>4.1666666666666664E-2</v>
      </c>
      <c r="F27" s="26" t="s">
        <v>46</v>
      </c>
      <c r="G27" s="32" t="s">
        <v>47</v>
      </c>
      <c r="H27" s="7"/>
    </row>
    <row r="28" spans="1:8" x14ac:dyDescent="0.25">
      <c r="A28" s="28" t="s">
        <v>18</v>
      </c>
      <c r="B28" s="15">
        <v>46071</v>
      </c>
      <c r="C28" s="25">
        <v>0.30208333333333331</v>
      </c>
      <c r="D28" s="25">
        <v>0.33333333333333331</v>
      </c>
      <c r="E28" s="25">
        <v>3.125E-2</v>
      </c>
      <c r="F28" s="26" t="s">
        <v>46</v>
      </c>
      <c r="G28" s="32" t="s">
        <v>47</v>
      </c>
      <c r="H28" s="7"/>
    </row>
    <row r="29" spans="1:8" x14ac:dyDescent="0.25">
      <c r="A29" s="28" t="s">
        <v>18</v>
      </c>
      <c r="B29" s="15">
        <v>46112</v>
      </c>
      <c r="C29" s="25">
        <v>0.33333333333333331</v>
      </c>
      <c r="D29" s="25">
        <v>0.375</v>
      </c>
      <c r="E29" s="25">
        <v>4.1666666666666664E-2</v>
      </c>
      <c r="F29" s="26" t="s">
        <v>46</v>
      </c>
      <c r="G29" s="32" t="s">
        <v>47</v>
      </c>
      <c r="H29" s="7"/>
    </row>
    <row r="30" spans="1:8" x14ac:dyDescent="0.25">
      <c r="A30" s="28" t="s">
        <v>19</v>
      </c>
      <c r="B30" s="15">
        <v>45671</v>
      </c>
      <c r="C30" s="25">
        <v>0.47916666666666669</v>
      </c>
      <c r="D30" s="25">
        <v>0.51041666666666663</v>
      </c>
      <c r="E30" s="25">
        <v>3.125E-2</v>
      </c>
      <c r="F30" s="26" t="s">
        <v>46</v>
      </c>
      <c r="G30" s="32" t="s">
        <v>47</v>
      </c>
      <c r="H30" s="7"/>
    </row>
    <row r="31" spans="1:8" x14ac:dyDescent="0.25">
      <c r="A31" s="76" t="s">
        <v>19</v>
      </c>
      <c r="B31" s="35">
        <v>46072</v>
      </c>
      <c r="C31" s="36">
        <v>0.45833333333333331</v>
      </c>
      <c r="D31" s="36">
        <v>0.48680555555555555</v>
      </c>
      <c r="E31" s="36">
        <v>2.8472222222222222E-2</v>
      </c>
      <c r="F31" s="26" t="s">
        <v>46</v>
      </c>
      <c r="G31" s="32" t="s">
        <v>47</v>
      </c>
      <c r="H31" s="7"/>
    </row>
    <row r="32" spans="1:8" x14ac:dyDescent="0.25">
      <c r="A32" s="76" t="s">
        <v>19</v>
      </c>
      <c r="B32" s="35">
        <v>46113</v>
      </c>
      <c r="C32" s="36">
        <v>0.45833333333333331</v>
      </c>
      <c r="D32" s="36">
        <v>0.5</v>
      </c>
      <c r="E32" s="36">
        <v>4.1666666666666664E-2</v>
      </c>
      <c r="F32" s="26" t="s">
        <v>46</v>
      </c>
      <c r="G32" s="32" t="s">
        <v>47</v>
      </c>
      <c r="H32" s="7"/>
    </row>
  </sheetData>
  <autoFilter ref="A2:I32" xr:uid="{75FD601D-D4ED-4B17-879B-B7456D85BC6A}">
    <sortState xmlns:xlrd2="http://schemas.microsoft.com/office/spreadsheetml/2017/richdata2" ref="A3:H32">
      <sortCondition ref="A2:A32"/>
    </sortState>
  </autoFilter>
  <mergeCells count="1">
    <mergeCell ref="B1:H1"/>
  </mergeCells>
  <phoneticPr fontId="6" type="noConversion"/>
  <pageMargins left="0.7" right="0.7" top="0.75" bottom="0.75" header="0.3" footer="0.3"/>
  <pageSetup paperSize="9" scale="55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5000-4F2E-41F8-B68A-2C476DC3FAFA}">
  <sheetPr>
    <pageSetUpPr fitToPage="1"/>
  </sheetPr>
  <dimension ref="A1:N16"/>
  <sheetViews>
    <sheetView tabSelected="1" topLeftCell="A2" zoomScale="79" zoomScaleNormal="80" workbookViewId="0">
      <selection activeCell="A17" sqref="A17:XFD17"/>
    </sheetView>
  </sheetViews>
  <sheetFormatPr baseColWidth="10" defaultColWidth="11.42578125" defaultRowHeight="15" x14ac:dyDescent="0.25"/>
  <cols>
    <col min="1" max="1" width="19.140625" customWidth="1"/>
    <col min="2" max="2" width="21.28515625" customWidth="1"/>
    <col min="3" max="3" width="11.5703125" bestFit="1" customWidth="1"/>
    <col min="5" max="5" width="14.5703125" bestFit="1" customWidth="1"/>
    <col min="6" max="6" width="11.5703125" bestFit="1" customWidth="1"/>
    <col min="7" max="7" width="17.140625" bestFit="1" customWidth="1"/>
    <col min="8" max="8" width="17.140625" customWidth="1"/>
    <col min="9" max="9" width="12.140625" customWidth="1"/>
    <col min="10" max="10" width="14.42578125" style="16" customWidth="1"/>
    <col min="11" max="11" width="26.140625" customWidth="1"/>
    <col min="12" max="12" width="73.85546875" bestFit="1" customWidth="1"/>
    <col min="13" max="13" width="67.5703125" customWidth="1"/>
    <col min="14" max="14" width="31.5703125" customWidth="1"/>
  </cols>
  <sheetData>
    <row r="1" spans="1:14" ht="36" hidden="1" customHeight="1" x14ac:dyDescent="0.25">
      <c r="A1" s="8" t="s">
        <v>1</v>
      </c>
      <c r="B1" s="60" t="s">
        <v>20</v>
      </c>
      <c r="C1" s="60"/>
      <c r="D1" s="60"/>
      <c r="E1" s="60" t="s">
        <v>21</v>
      </c>
      <c r="F1" s="60"/>
      <c r="G1" s="60"/>
      <c r="H1" s="60"/>
      <c r="I1" s="60"/>
      <c r="J1" s="60"/>
      <c r="K1" s="60"/>
      <c r="L1" s="60"/>
      <c r="M1" s="60"/>
      <c r="N1" s="61"/>
    </row>
    <row r="2" spans="1:14" ht="48" customHeight="1" x14ac:dyDescent="0.25">
      <c r="A2" s="9"/>
      <c r="B2" s="10" t="s">
        <v>22</v>
      </c>
      <c r="C2" s="11" t="s">
        <v>5</v>
      </c>
      <c r="D2" s="12" t="s">
        <v>23</v>
      </c>
      <c r="E2" s="10" t="s">
        <v>2</v>
      </c>
      <c r="F2" s="11" t="s">
        <v>3</v>
      </c>
      <c r="G2" s="10" t="s">
        <v>4</v>
      </c>
      <c r="H2" s="11" t="s">
        <v>24</v>
      </c>
      <c r="I2" s="11" t="s">
        <v>45</v>
      </c>
      <c r="J2" s="11" t="s">
        <v>25</v>
      </c>
      <c r="K2" s="12" t="s">
        <v>6</v>
      </c>
      <c r="L2" s="12" t="s">
        <v>26</v>
      </c>
      <c r="M2" s="13" t="s">
        <v>27</v>
      </c>
      <c r="N2" s="14" t="s">
        <v>28</v>
      </c>
    </row>
    <row r="3" spans="1:14" ht="15.75" x14ac:dyDescent="0.25">
      <c r="A3" s="7" t="s">
        <v>9</v>
      </c>
      <c r="B3" s="50">
        <v>46027</v>
      </c>
      <c r="C3" s="51">
        <v>0.59444444444444444</v>
      </c>
      <c r="D3" s="24"/>
      <c r="E3" s="50">
        <v>46027</v>
      </c>
      <c r="F3" s="51">
        <v>0.60416666666666663</v>
      </c>
      <c r="G3" s="50">
        <v>46027</v>
      </c>
      <c r="H3" s="51">
        <v>0.64583333333333337</v>
      </c>
      <c r="I3" s="36">
        <f>H3-F3</f>
        <v>4.1666666666666741E-2</v>
      </c>
      <c r="J3" s="19">
        <f>F3-C3</f>
        <v>9.7222222222221877E-3</v>
      </c>
      <c r="K3" s="24" t="s">
        <v>30</v>
      </c>
      <c r="L3" s="24" t="s">
        <v>49</v>
      </c>
      <c r="M3" s="18" t="s">
        <v>50</v>
      </c>
      <c r="N3" s="24" t="s">
        <v>29</v>
      </c>
    </row>
    <row r="4" spans="1:14" ht="15.75" x14ac:dyDescent="0.25">
      <c r="A4" s="47" t="s">
        <v>14</v>
      </c>
      <c r="B4" s="35">
        <v>46051</v>
      </c>
      <c r="C4" s="36">
        <v>0.48680555555555555</v>
      </c>
      <c r="D4" s="7"/>
      <c r="E4" s="35">
        <v>46099</v>
      </c>
      <c r="F4" s="36">
        <v>0.48680555555555555</v>
      </c>
      <c r="G4" s="35">
        <v>46099</v>
      </c>
      <c r="H4" s="36">
        <v>0.62708333333333333</v>
      </c>
      <c r="I4" s="36">
        <f>H4-F4</f>
        <v>0.14027777777777778</v>
      </c>
      <c r="J4" s="40">
        <f>F4-C4</f>
        <v>0</v>
      </c>
      <c r="K4" s="7" t="s">
        <v>46</v>
      </c>
      <c r="L4" s="7" t="s">
        <v>60</v>
      </c>
      <c r="M4" s="7" t="s">
        <v>57</v>
      </c>
      <c r="N4" s="20" t="s">
        <v>29</v>
      </c>
    </row>
    <row r="5" spans="1:14" ht="15.75" x14ac:dyDescent="0.25">
      <c r="A5" s="47" t="s">
        <v>12</v>
      </c>
      <c r="B5" s="50">
        <v>46062</v>
      </c>
      <c r="C5" s="51">
        <v>0.45277777777777778</v>
      </c>
      <c r="D5" s="24"/>
      <c r="E5" s="50">
        <v>46062</v>
      </c>
      <c r="F5" s="51">
        <v>0.45833333333333331</v>
      </c>
      <c r="G5" s="50">
        <v>46062</v>
      </c>
      <c r="H5" s="51">
        <v>0.5</v>
      </c>
      <c r="I5" s="36">
        <f>H5-F5</f>
        <v>4.1666666666666685E-2</v>
      </c>
      <c r="J5" s="53">
        <f>F5-C5</f>
        <v>5.5555555555555358E-3</v>
      </c>
      <c r="K5" s="21" t="s">
        <v>51</v>
      </c>
      <c r="L5" s="24" t="s">
        <v>58</v>
      </c>
      <c r="M5" s="24" t="s">
        <v>57</v>
      </c>
      <c r="N5" s="22" t="s">
        <v>29</v>
      </c>
    </row>
    <row r="6" spans="1:14" ht="30" x14ac:dyDescent="0.25">
      <c r="A6" s="38" t="s">
        <v>11</v>
      </c>
      <c r="B6" s="37">
        <v>46065</v>
      </c>
      <c r="C6" s="25">
        <v>0.3743055555555555</v>
      </c>
      <c r="D6" s="26"/>
      <c r="E6" s="15">
        <v>46067</v>
      </c>
      <c r="F6" s="25">
        <v>0.47916666666666669</v>
      </c>
      <c r="G6" s="15">
        <v>46067</v>
      </c>
      <c r="H6" s="25">
        <v>0.59375</v>
      </c>
      <c r="I6" s="36">
        <f>H6-F6</f>
        <v>0.11458333333333331</v>
      </c>
      <c r="J6" s="40">
        <f>F6-C6</f>
        <v>0.10486111111111118</v>
      </c>
      <c r="K6" s="20" t="s">
        <v>51</v>
      </c>
      <c r="L6" s="39" t="s">
        <v>52</v>
      </c>
      <c r="M6" s="52" t="s">
        <v>53</v>
      </c>
      <c r="N6" s="20" t="s">
        <v>29</v>
      </c>
    </row>
    <row r="7" spans="1:14" ht="15.75" x14ac:dyDescent="0.25">
      <c r="A7" s="47" t="s">
        <v>12</v>
      </c>
      <c r="B7" s="35">
        <v>46069</v>
      </c>
      <c r="C7" s="36">
        <v>0.96736111111111101</v>
      </c>
      <c r="D7" s="7"/>
      <c r="E7" s="35">
        <v>46070</v>
      </c>
      <c r="F7" s="36">
        <v>0.31041666666666667</v>
      </c>
      <c r="G7" s="35">
        <v>46070</v>
      </c>
      <c r="H7" s="36">
        <v>0.33333333333333331</v>
      </c>
      <c r="I7" s="36">
        <f>H7-F7</f>
        <v>2.2916666666666641E-2</v>
      </c>
      <c r="J7" s="40">
        <f>F7-C7</f>
        <v>-0.65694444444444433</v>
      </c>
      <c r="K7" s="23" t="s">
        <v>46</v>
      </c>
      <c r="L7" s="7" t="s">
        <v>59</v>
      </c>
      <c r="M7" s="7" t="s">
        <v>57</v>
      </c>
      <c r="N7" s="20" t="s">
        <v>29</v>
      </c>
    </row>
    <row r="8" spans="1:14" ht="45" x14ac:dyDescent="0.25">
      <c r="A8" s="48" t="s">
        <v>18</v>
      </c>
      <c r="B8" s="50">
        <v>46079</v>
      </c>
      <c r="C8" s="51">
        <v>0.41388888888888892</v>
      </c>
      <c r="D8" s="24"/>
      <c r="E8" s="50">
        <v>46079</v>
      </c>
      <c r="F8" s="51">
        <v>0.875</v>
      </c>
      <c r="G8" s="50">
        <v>46079</v>
      </c>
      <c r="H8" s="51">
        <v>0.96875</v>
      </c>
      <c r="I8" s="36">
        <f>H8-F8</f>
        <v>9.375E-2</v>
      </c>
      <c r="J8" s="70">
        <f>F8-C8</f>
        <v>0.46111111111111108</v>
      </c>
      <c r="K8" s="24" t="s">
        <v>31</v>
      </c>
      <c r="L8" s="24" t="s">
        <v>68</v>
      </c>
      <c r="M8" s="73" t="s">
        <v>69</v>
      </c>
      <c r="N8" s="22" t="s">
        <v>29</v>
      </c>
    </row>
    <row r="9" spans="1:14" ht="45" x14ac:dyDescent="0.25">
      <c r="A9" s="20" t="s">
        <v>18</v>
      </c>
      <c r="B9" s="35">
        <v>46081</v>
      </c>
      <c r="C9" s="36">
        <v>0.50486111111111109</v>
      </c>
      <c r="D9" s="7"/>
      <c r="E9" s="35">
        <v>46081</v>
      </c>
      <c r="F9" s="36">
        <v>0.63541666666666663</v>
      </c>
      <c r="G9" s="35">
        <v>46081</v>
      </c>
      <c r="H9" s="36">
        <v>0.71875</v>
      </c>
      <c r="I9" s="36">
        <f>H9-F9</f>
        <v>8.333333333333337E-2</v>
      </c>
      <c r="J9" s="68">
        <f>F9-C9</f>
        <v>0.13055555555555554</v>
      </c>
      <c r="K9" s="7" t="s">
        <v>70</v>
      </c>
      <c r="L9" s="7" t="s">
        <v>71</v>
      </c>
      <c r="M9" s="41" t="s">
        <v>72</v>
      </c>
      <c r="N9" s="20" t="s">
        <v>73</v>
      </c>
    </row>
    <row r="10" spans="1:14" ht="30" x14ac:dyDescent="0.25">
      <c r="A10" s="38" t="s">
        <v>11</v>
      </c>
      <c r="B10" s="37">
        <v>46088</v>
      </c>
      <c r="C10" s="25">
        <v>0.33541666666666664</v>
      </c>
      <c r="D10" s="26"/>
      <c r="E10" s="15">
        <v>46089</v>
      </c>
      <c r="F10" s="25">
        <v>0.39583333333333331</v>
      </c>
      <c r="G10" s="15">
        <v>46089</v>
      </c>
      <c r="H10" s="25">
        <v>0.47916666666666669</v>
      </c>
      <c r="I10" s="36">
        <f>H10-F10</f>
        <v>8.333333333333337E-2</v>
      </c>
      <c r="J10" s="40">
        <f>F10-C10</f>
        <v>6.0416666666666674E-2</v>
      </c>
      <c r="K10" s="20" t="s">
        <v>44</v>
      </c>
      <c r="L10" s="39" t="s">
        <v>54</v>
      </c>
      <c r="M10" s="52" t="s">
        <v>55</v>
      </c>
      <c r="N10" s="20" t="s">
        <v>56</v>
      </c>
    </row>
    <row r="11" spans="1:14" ht="15.75" x14ac:dyDescent="0.25">
      <c r="A11" s="64" t="s">
        <v>17</v>
      </c>
      <c r="B11" s="35">
        <v>46090</v>
      </c>
      <c r="C11" s="36">
        <v>0.31736111111111115</v>
      </c>
      <c r="D11" s="7"/>
      <c r="E11" s="35">
        <v>46090</v>
      </c>
      <c r="F11" s="36">
        <v>0.375</v>
      </c>
      <c r="G11" s="35">
        <v>46090</v>
      </c>
      <c r="H11" s="36">
        <v>0.41666666666666669</v>
      </c>
      <c r="I11" s="36">
        <f>H11-F11</f>
        <v>4.1666666666666685E-2</v>
      </c>
      <c r="J11" s="68">
        <f>F11-C11</f>
        <v>5.7638888888888851E-2</v>
      </c>
      <c r="K11" s="23" t="s">
        <v>46</v>
      </c>
      <c r="L11" s="7" t="s">
        <v>66</v>
      </c>
      <c r="M11" s="17" t="s">
        <v>67</v>
      </c>
      <c r="N11" s="20" t="s">
        <v>29</v>
      </c>
    </row>
    <row r="12" spans="1:14" ht="15.75" x14ac:dyDescent="0.25">
      <c r="A12" s="64" t="s">
        <v>18</v>
      </c>
      <c r="B12" s="35">
        <v>46093</v>
      </c>
      <c r="C12" s="36">
        <v>0.33402777777777776</v>
      </c>
      <c r="D12" s="7"/>
      <c r="E12" s="35">
        <v>46093</v>
      </c>
      <c r="F12" s="36">
        <v>0.35416666666666669</v>
      </c>
      <c r="G12" s="35">
        <v>46093</v>
      </c>
      <c r="H12" s="36">
        <v>0.375</v>
      </c>
      <c r="I12" s="36">
        <f>H12-F12</f>
        <v>2.0833333333333315E-2</v>
      </c>
      <c r="J12" s="68">
        <f>F12-C12</f>
        <v>2.0138888888888928E-2</v>
      </c>
      <c r="K12" s="7" t="s">
        <v>46</v>
      </c>
      <c r="L12" s="7" t="s">
        <v>58</v>
      </c>
      <c r="M12" s="7" t="s">
        <v>74</v>
      </c>
      <c r="N12" s="20" t="s">
        <v>29</v>
      </c>
    </row>
    <row r="13" spans="1:14" ht="15.75" x14ac:dyDescent="0.25">
      <c r="A13" s="48" t="s">
        <v>18</v>
      </c>
      <c r="B13" s="45">
        <v>46100</v>
      </c>
      <c r="C13" s="46">
        <v>0.54305555555555551</v>
      </c>
      <c r="E13" s="45">
        <v>46100</v>
      </c>
      <c r="F13" s="46">
        <v>0.60416666666666663</v>
      </c>
      <c r="G13" s="45">
        <v>46100</v>
      </c>
      <c r="H13" s="46">
        <v>0.64583333333333337</v>
      </c>
      <c r="I13" s="46">
        <f>H13-F13</f>
        <v>4.1666666666666741E-2</v>
      </c>
      <c r="J13" s="55">
        <f>F13-C13</f>
        <v>6.1111111111111116E-2</v>
      </c>
      <c r="K13" s="49" t="s">
        <v>46</v>
      </c>
      <c r="L13" s="49" t="s">
        <v>58</v>
      </c>
      <c r="M13" s="74" t="s">
        <v>74</v>
      </c>
      <c r="N13" s="48" t="s">
        <v>29</v>
      </c>
    </row>
    <row r="14" spans="1:14" ht="15.75" x14ac:dyDescent="0.25">
      <c r="A14" s="63" t="s">
        <v>32</v>
      </c>
      <c r="B14" s="65">
        <v>46106</v>
      </c>
      <c r="C14" s="66">
        <v>0.3923611111111111</v>
      </c>
      <c r="D14" s="67"/>
      <c r="E14" s="65">
        <v>46106</v>
      </c>
      <c r="F14" s="66">
        <v>0.41666666666666669</v>
      </c>
      <c r="G14" s="65">
        <v>46106</v>
      </c>
      <c r="H14" s="66">
        <v>0.45833333333333331</v>
      </c>
      <c r="I14" s="66">
        <f>H14-F14</f>
        <v>4.166666666666663E-2</v>
      </c>
      <c r="J14" s="71">
        <f>F14-C14</f>
        <v>2.430555555555558E-2</v>
      </c>
      <c r="K14" s="67" t="s">
        <v>46</v>
      </c>
      <c r="L14" s="67" t="s">
        <v>63</v>
      </c>
      <c r="M14" s="67" t="s">
        <v>64</v>
      </c>
      <c r="N14" s="75" t="s">
        <v>29</v>
      </c>
    </row>
    <row r="15" spans="1:14" ht="45" x14ac:dyDescent="0.25">
      <c r="A15" s="62" t="s">
        <v>14</v>
      </c>
      <c r="B15" s="65">
        <v>46111</v>
      </c>
      <c r="C15" s="66">
        <v>0.6430555555555556</v>
      </c>
      <c r="D15" s="67"/>
      <c r="E15" s="65">
        <v>46112</v>
      </c>
      <c r="F15" s="66">
        <v>0.40625</v>
      </c>
      <c r="G15" s="65">
        <v>46112</v>
      </c>
      <c r="H15" s="66">
        <v>0.48958333333333331</v>
      </c>
      <c r="I15" s="66">
        <f>H15-F15</f>
        <v>8.3333333333333315E-2</v>
      </c>
      <c r="J15" s="69">
        <f>F15-C15</f>
        <v>-0.2368055555555556</v>
      </c>
      <c r="K15" s="67" t="s">
        <v>51</v>
      </c>
      <c r="L15" s="67" t="s">
        <v>61</v>
      </c>
      <c r="M15" s="72" t="s">
        <v>62</v>
      </c>
      <c r="N15" s="54" t="s">
        <v>29</v>
      </c>
    </row>
    <row r="16" spans="1:14" x14ac:dyDescent="0.25">
      <c r="A16" s="63" t="s">
        <v>32</v>
      </c>
      <c r="B16" s="65">
        <v>46115</v>
      </c>
      <c r="C16" s="66">
        <v>0.74861111111111101</v>
      </c>
      <c r="D16" s="67"/>
      <c r="E16" s="65">
        <v>46116</v>
      </c>
      <c r="F16" s="66">
        <v>0.3125</v>
      </c>
      <c r="G16" s="65">
        <v>46116</v>
      </c>
      <c r="H16" s="66">
        <v>0.39583333333333331</v>
      </c>
      <c r="I16" s="66">
        <f>H16-F16</f>
        <v>8.3333333333333315E-2</v>
      </c>
      <c r="J16" s="71">
        <f>F16-C16</f>
        <v>-0.43611111111111101</v>
      </c>
      <c r="K16" s="67" t="s">
        <v>51</v>
      </c>
      <c r="L16" s="67" t="s">
        <v>63</v>
      </c>
      <c r="M16" s="67" t="s">
        <v>65</v>
      </c>
      <c r="N16" s="75" t="s">
        <v>29</v>
      </c>
    </row>
  </sheetData>
  <autoFilter ref="A2:N16" xr:uid="{5A765000-4F2E-41F8-B68A-2C476DC3FAFA}">
    <sortState xmlns:xlrd2="http://schemas.microsoft.com/office/spreadsheetml/2017/richdata2" ref="A3:N16">
      <sortCondition ref="B2:B16"/>
    </sortState>
  </autoFilter>
  <mergeCells count="2">
    <mergeCell ref="B1:D1"/>
    <mergeCell ref="E1:N1"/>
  </mergeCells>
  <phoneticPr fontId="6" type="noConversion"/>
  <pageMargins left="0.7" right="0.7" top="0.52" bottom="0.38" header="0.3" footer="0.3"/>
  <pageSetup paperSize="9" scale="39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030DA7AEA51448BE67C110EC7D896E" ma:contentTypeVersion="19" ma:contentTypeDescription="Crée un document." ma:contentTypeScope="" ma:versionID="09eb2794e9726c2b7930920c214fa2d4">
  <xsd:schema xmlns:xsd="http://www.w3.org/2001/XMLSchema" xmlns:xs="http://www.w3.org/2001/XMLSchema" xmlns:p="http://schemas.microsoft.com/office/2006/metadata/properties" xmlns:ns2="412c15b9-235d-4f19-a14d-4cf2f2860cae" xmlns:ns3="0dded437-c2c3-4339-9790-aa57c1e5ef06" targetNamespace="http://schemas.microsoft.com/office/2006/metadata/properties" ma:root="true" ma:fieldsID="4db921b06511af52f30f29b9da736091" ns2:_="" ns3:_="">
    <xsd:import namespace="412c15b9-235d-4f19-a14d-4cf2f2860cae"/>
    <xsd:import namespace="0dded437-c2c3-4339-9790-aa57c1e5e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c15b9-235d-4f19-a14d-4cf2f2860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ed437-c2c3-4339-9790-aa57c1e5e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a1df67-7874-4cae-8445-a8ae4029ebd3}" ma:internalName="TaxCatchAll" ma:showField="CatchAllData" ma:web="0dded437-c2c3-4339-9790-aa57c1e5e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2c15b9-235d-4f19-a14d-4cf2f2860cae">
      <Terms xmlns="http://schemas.microsoft.com/office/infopath/2007/PartnerControls"/>
    </lcf76f155ced4ddcb4097134ff3c332f>
    <TaxCatchAll xmlns="0dded437-c2c3-4339-9790-aa57c1e5ef06" xsi:nil="true"/>
  </documentManagement>
</p:properties>
</file>

<file path=customXml/itemProps1.xml><?xml version="1.0" encoding="utf-8"?>
<ds:datastoreItem xmlns:ds="http://schemas.openxmlformats.org/officeDocument/2006/customXml" ds:itemID="{DF0EE3F2-BD69-439B-9A27-3AE1071A41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C338A6-CB3A-414E-BE45-7629A6360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2c15b9-235d-4f19-a14d-4cf2f2860cae"/>
    <ds:schemaRef ds:uri="0dded437-c2c3-4339-9790-aa57c1e5e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76EAC7-4CDE-40E5-88E3-31CB58FF0251}">
  <ds:schemaRefs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0dded437-c2c3-4339-9790-aa57c1e5ef06"/>
    <ds:schemaRef ds:uri="412c15b9-235d-4f19-a14d-4cf2f2860c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Maintenance</vt:lpstr>
      <vt:lpstr>Intervention et dépannage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BULIN Lucinda</dc:creator>
  <cp:lastModifiedBy>LATCHOUMANINCHETTY Emma</cp:lastModifiedBy>
  <cp:lastPrinted>2025-12-22T13:51:27Z</cp:lastPrinted>
  <dcterms:created xsi:type="dcterms:W3CDTF">2025-03-27T06:00:40Z</dcterms:created>
  <dcterms:modified xsi:type="dcterms:W3CDTF">2026-04-16T07:55:34Z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0x01010080030DA7AEA51448BE67C110EC7D896E</vt:lpwstr>
  </property>
  <property fmtid="{D5CDD505-2E9C-101B-9397-08002B2CF9AE}" pid="3" name="MediaServiceImageTags">
    <vt:lpwstr/>
  </property>
</Properties>
</file>